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guex/switchdrive/TP_ling/data&amp;questions/pragmatique/"/>
    </mc:Choice>
  </mc:AlternateContent>
  <xr:revisionPtr revIDLastSave="0" documentId="13_ncr:1_{F76F9636-4E96-B940-A849-1C517E880924}" xr6:coauthVersionLast="47" xr6:coauthVersionMax="47" xr10:uidLastSave="{00000000-0000-0000-0000-000000000000}"/>
  <bookViews>
    <workbookView xWindow="0" yWindow="760" windowWidth="30240" windowHeight="17760" xr2:uid="{BA946D4B-5455-F740-9108-75AB6EBF407E}"/>
  </bookViews>
  <sheets>
    <sheet name="SELECTION" sheetId="2" r:id="rId1"/>
    <sheet name="TOKEN PAR PERS_ONTO" sheetId="5" r:id="rId2"/>
    <sheet name="TEMPS PAROLE PERS_ONTO" sheetId="6" r:id="rId3"/>
  </sheets>
  <definedNames>
    <definedName name="_xlnm._FilterDatabase" localSheetId="0" hidden="1">SELECTION!$A$1:$T$322</definedName>
    <definedName name="_xlnm._FilterDatabase" localSheetId="2" hidden="1">'TEMPS PAROLE PERS_ONTO'!$A$1:$B$147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5" i="5" l="1"/>
  <c r="L29" i="5"/>
  <c r="O29" i="5" s="1"/>
  <c r="L53" i="5"/>
  <c r="N53" i="5" s="1"/>
  <c r="L20" i="5"/>
  <c r="R20" i="5" s="1"/>
  <c r="L68" i="5"/>
  <c r="L14" i="5"/>
  <c r="L79" i="5"/>
  <c r="L26" i="5"/>
  <c r="L72" i="5"/>
  <c r="L28" i="5"/>
  <c r="O28" i="5" s="1"/>
  <c r="L77" i="5"/>
  <c r="N77" i="5" s="1"/>
  <c r="L15" i="5"/>
  <c r="M15" i="5" s="1"/>
  <c r="L41" i="5"/>
  <c r="M41" i="5" s="1"/>
  <c r="L11" i="5"/>
  <c r="M11" i="5" s="1"/>
  <c r="L10" i="5"/>
  <c r="L18" i="5"/>
  <c r="L45" i="5"/>
  <c r="L2" i="5"/>
  <c r="N2" i="5" s="1"/>
  <c r="L74" i="5"/>
  <c r="N74" i="5" s="1"/>
  <c r="L49" i="5"/>
  <c r="N49" i="5" s="1"/>
  <c r="L56" i="5"/>
  <c r="L43" i="5"/>
  <c r="L69" i="5"/>
  <c r="L21" i="5"/>
  <c r="L3" i="5"/>
  <c r="L71" i="5"/>
  <c r="N71" i="5" s="1"/>
  <c r="L9" i="5"/>
  <c r="N9" i="5" s="1"/>
  <c r="L63" i="5"/>
  <c r="M63" i="5" s="1"/>
  <c r="L12" i="5"/>
  <c r="M12" i="5" s="1"/>
  <c r="L40" i="5"/>
  <c r="M40" i="5" s="1"/>
  <c r="L70" i="5"/>
  <c r="L73" i="5"/>
  <c r="L58" i="5"/>
  <c r="M58" i="5" s="1"/>
  <c r="L75" i="5"/>
  <c r="O75" i="5" s="1"/>
  <c r="L60" i="5"/>
  <c r="L34" i="5"/>
  <c r="M34" i="5" s="1"/>
  <c r="L24" i="5"/>
  <c r="L13" i="5"/>
  <c r="U13" i="5" s="1"/>
  <c r="L16" i="5"/>
  <c r="L66" i="5"/>
  <c r="T66" i="5" s="1"/>
  <c r="L48" i="5"/>
  <c r="M48" i="5" s="1"/>
  <c r="L67" i="5"/>
  <c r="S67" i="5" s="1"/>
  <c r="L23" i="5"/>
  <c r="N23" i="5" s="1"/>
  <c r="L5" i="5"/>
  <c r="R5" i="5" s="1"/>
  <c r="L36" i="5"/>
  <c r="M36" i="5" s="1"/>
  <c r="L37" i="5"/>
  <c r="Q37" i="5" s="1"/>
  <c r="L6" i="5"/>
  <c r="M6" i="5" s="1"/>
  <c r="L33" i="5"/>
  <c r="P33" i="5" s="1"/>
  <c r="L59" i="5"/>
  <c r="L64" i="5"/>
  <c r="O64" i="5" s="1"/>
  <c r="L61" i="5"/>
  <c r="M61" i="5" s="1"/>
  <c r="L47" i="5"/>
  <c r="R47" i="5" s="1"/>
  <c r="L8" i="5"/>
  <c r="M8" i="5" s="1"/>
  <c r="L65" i="5"/>
  <c r="Q65" i="5" s="1"/>
  <c r="L35" i="5"/>
  <c r="M35" i="5" s="1"/>
  <c r="L62" i="5"/>
  <c r="L27" i="5"/>
  <c r="L50" i="5"/>
  <c r="M50" i="5" s="1"/>
  <c r="L44" i="5"/>
  <c r="M44" i="5" s="1"/>
  <c r="L19" i="5"/>
  <c r="M19" i="5" s="1"/>
  <c r="L42" i="5"/>
  <c r="M42" i="5" s="1"/>
  <c r="L46" i="5"/>
  <c r="M46" i="5" s="1"/>
  <c r="L17" i="5"/>
  <c r="M17" i="5" s="1"/>
  <c r="L52" i="5"/>
  <c r="L32" i="5"/>
  <c r="O32" i="5" s="1"/>
  <c r="L54" i="5"/>
  <c r="M54" i="5" s="1"/>
  <c r="L30" i="5"/>
  <c r="M30" i="5" s="1"/>
  <c r="L22" i="5"/>
  <c r="M22" i="5" s="1"/>
  <c r="L4" i="5"/>
  <c r="M4" i="5" s="1"/>
  <c r="L51" i="5"/>
  <c r="M51" i="5" s="1"/>
  <c r="L31" i="5"/>
  <c r="M31" i="5" s="1"/>
  <c r="L39" i="5"/>
  <c r="L55" i="5"/>
  <c r="O55" i="5" s="1"/>
  <c r="L57" i="5"/>
  <c r="O57" i="5" s="1"/>
  <c r="L78" i="5"/>
  <c r="M78" i="5" s="1"/>
  <c r="L76" i="5"/>
  <c r="M76" i="5" s="1"/>
  <c r="L7" i="5"/>
  <c r="M7" i="5" s="1"/>
  <c r="L38" i="5"/>
  <c r="M38" i="5" s="1"/>
  <c r="C80" i="5"/>
  <c r="D80" i="5"/>
  <c r="E80" i="5"/>
  <c r="F80" i="5"/>
  <c r="G80" i="5"/>
  <c r="H80" i="5"/>
  <c r="I80" i="5"/>
  <c r="J80" i="5"/>
  <c r="B80" i="5"/>
  <c r="K29" i="5"/>
  <c r="K53" i="5"/>
  <c r="K20" i="5"/>
  <c r="K68" i="5"/>
  <c r="K14" i="5"/>
  <c r="K79" i="5"/>
  <c r="K26" i="5"/>
  <c r="K72" i="5"/>
  <c r="K28" i="5"/>
  <c r="K77" i="5"/>
  <c r="K15" i="5"/>
  <c r="K41" i="5"/>
  <c r="K11" i="5"/>
  <c r="K10" i="5"/>
  <c r="K18" i="5"/>
  <c r="K45" i="5"/>
  <c r="K2" i="5"/>
  <c r="K74" i="5"/>
  <c r="K49" i="5"/>
  <c r="K56" i="5"/>
  <c r="K43" i="5"/>
  <c r="K69" i="5"/>
  <c r="K21" i="5"/>
  <c r="K3" i="5"/>
  <c r="K71" i="5"/>
  <c r="K9" i="5"/>
  <c r="K63" i="5"/>
  <c r="K12" i="5"/>
  <c r="K40" i="5"/>
  <c r="K70" i="5"/>
  <c r="K73" i="5"/>
  <c r="K58" i="5"/>
  <c r="K75" i="5"/>
  <c r="K60" i="5"/>
  <c r="K34" i="5"/>
  <c r="K24" i="5"/>
  <c r="K13" i="5"/>
  <c r="K16" i="5"/>
  <c r="K66" i="5"/>
  <c r="K48" i="5"/>
  <c r="K67" i="5"/>
  <c r="K23" i="5"/>
  <c r="K5" i="5"/>
  <c r="K36" i="5"/>
  <c r="K37" i="5"/>
  <c r="K6" i="5"/>
  <c r="K33" i="5"/>
  <c r="K59" i="5"/>
  <c r="K64" i="5"/>
  <c r="K61" i="5"/>
  <c r="K47" i="5"/>
  <c r="K8" i="5"/>
  <c r="K65" i="5"/>
  <c r="K35" i="5"/>
  <c r="K62" i="5"/>
  <c r="K27" i="5"/>
  <c r="K50" i="5"/>
  <c r="K44" i="5"/>
  <c r="K19" i="5"/>
  <c r="K42" i="5"/>
  <c r="K46" i="5"/>
  <c r="K17" i="5"/>
  <c r="K52" i="5"/>
  <c r="K32" i="5"/>
  <c r="K54" i="5"/>
  <c r="K30" i="5"/>
  <c r="K22" i="5"/>
  <c r="K4" i="5"/>
  <c r="K51" i="5"/>
  <c r="K31" i="5"/>
  <c r="K39" i="5"/>
  <c r="K55" i="5"/>
  <c r="K57" i="5"/>
  <c r="K78" i="5"/>
  <c r="K76" i="5"/>
  <c r="K7" i="5"/>
  <c r="K38" i="5"/>
  <c r="K25" i="5"/>
  <c r="N20" i="5" l="1"/>
  <c r="O54" i="5"/>
  <c r="U65" i="5"/>
  <c r="O33" i="5"/>
  <c r="M49" i="5"/>
  <c r="Q46" i="5"/>
  <c r="N47" i="5"/>
  <c r="R15" i="5"/>
  <c r="N75" i="5"/>
  <c r="K80" i="5"/>
  <c r="S71" i="5"/>
  <c r="T27" i="5"/>
  <c r="P27" i="5"/>
  <c r="U27" i="5"/>
  <c r="Q27" i="5"/>
  <c r="R27" i="5"/>
  <c r="N27" i="5"/>
  <c r="S27" i="5"/>
  <c r="T25" i="5"/>
  <c r="P25" i="5"/>
  <c r="L80" i="5"/>
  <c r="U25" i="5"/>
  <c r="Q25" i="5"/>
  <c r="M25" i="5"/>
  <c r="R25" i="5"/>
  <c r="N25" i="5"/>
  <c r="S25" i="5"/>
  <c r="O25" i="5"/>
  <c r="U39" i="5"/>
  <c r="Q39" i="5"/>
  <c r="R39" i="5"/>
  <c r="N39" i="5"/>
  <c r="S39" i="5"/>
  <c r="U52" i="5"/>
  <c r="Q52" i="5"/>
  <c r="R52" i="5"/>
  <c r="N52" i="5"/>
  <c r="S52" i="5"/>
  <c r="U62" i="5"/>
  <c r="Q62" i="5"/>
  <c r="R62" i="5"/>
  <c r="N62" i="5"/>
  <c r="S62" i="5"/>
  <c r="U33" i="5"/>
  <c r="Q33" i="5"/>
  <c r="R33" i="5"/>
  <c r="N33" i="5"/>
  <c r="S33" i="5"/>
  <c r="U66" i="5"/>
  <c r="Q66" i="5"/>
  <c r="M66" i="5"/>
  <c r="R66" i="5"/>
  <c r="N66" i="5"/>
  <c r="S66" i="5"/>
  <c r="U73" i="5"/>
  <c r="Q73" i="5"/>
  <c r="M73" i="5"/>
  <c r="R73" i="5"/>
  <c r="N73" i="5"/>
  <c r="S73" i="5"/>
  <c r="U21" i="5"/>
  <c r="Q21" i="5"/>
  <c r="M21" i="5"/>
  <c r="R21" i="5"/>
  <c r="N21" i="5"/>
  <c r="S21" i="5"/>
  <c r="U18" i="5"/>
  <c r="Q18" i="5"/>
  <c r="M18" i="5"/>
  <c r="R18" i="5"/>
  <c r="N18" i="5"/>
  <c r="S18" i="5"/>
  <c r="O18" i="5"/>
  <c r="U26" i="5"/>
  <c r="Q26" i="5"/>
  <c r="M26" i="5"/>
  <c r="R26" i="5"/>
  <c r="N26" i="5"/>
  <c r="S26" i="5"/>
  <c r="O26" i="5"/>
  <c r="M65" i="5"/>
  <c r="M37" i="5"/>
  <c r="N57" i="5"/>
  <c r="N61" i="5"/>
  <c r="N63" i="5"/>
  <c r="N28" i="5"/>
  <c r="O67" i="5"/>
  <c r="O21" i="5"/>
  <c r="P66" i="5"/>
  <c r="R22" i="5"/>
  <c r="S2" i="5"/>
  <c r="T73" i="5"/>
  <c r="U37" i="5"/>
  <c r="T3" i="5"/>
  <c r="P3" i="5"/>
  <c r="U3" i="5"/>
  <c r="Q3" i="5"/>
  <c r="R3" i="5"/>
  <c r="N3" i="5"/>
  <c r="S3" i="5"/>
  <c r="T45" i="5"/>
  <c r="P45" i="5"/>
  <c r="U45" i="5"/>
  <c r="Q45" i="5"/>
  <c r="M45" i="5"/>
  <c r="R45" i="5"/>
  <c r="N45" i="5"/>
  <c r="S45" i="5"/>
  <c r="O45" i="5"/>
  <c r="T72" i="5"/>
  <c r="P72" i="5"/>
  <c r="U72" i="5"/>
  <c r="Q72" i="5"/>
  <c r="M72" i="5"/>
  <c r="R72" i="5"/>
  <c r="N72" i="5"/>
  <c r="S72" i="5"/>
  <c r="O72" i="5"/>
  <c r="N78" i="5"/>
  <c r="O3" i="5"/>
  <c r="R76" i="5"/>
  <c r="U31" i="5"/>
  <c r="Q31" i="5"/>
  <c r="R31" i="5"/>
  <c r="N31" i="5"/>
  <c r="S31" i="5"/>
  <c r="O31" i="5"/>
  <c r="T31" i="5"/>
  <c r="P31" i="5"/>
  <c r="U17" i="5"/>
  <c r="Q17" i="5"/>
  <c r="R17" i="5"/>
  <c r="N17" i="5"/>
  <c r="S17" i="5"/>
  <c r="O17" i="5"/>
  <c r="T17" i="5"/>
  <c r="P17" i="5"/>
  <c r="U35" i="5"/>
  <c r="Q35" i="5"/>
  <c r="R35" i="5"/>
  <c r="N35" i="5"/>
  <c r="S35" i="5"/>
  <c r="O35" i="5"/>
  <c r="T35" i="5"/>
  <c r="P35" i="5"/>
  <c r="U6" i="5"/>
  <c r="Q6" i="5"/>
  <c r="R6" i="5"/>
  <c r="N6" i="5"/>
  <c r="S6" i="5"/>
  <c r="O6" i="5"/>
  <c r="T6" i="5"/>
  <c r="P6" i="5"/>
  <c r="U16" i="5"/>
  <c r="Q16" i="5"/>
  <c r="M16" i="5"/>
  <c r="R16" i="5"/>
  <c r="N16" i="5"/>
  <c r="S16" i="5"/>
  <c r="O16" i="5"/>
  <c r="T16" i="5"/>
  <c r="P16" i="5"/>
  <c r="U70" i="5"/>
  <c r="Q70" i="5"/>
  <c r="M70" i="5"/>
  <c r="R70" i="5"/>
  <c r="N70" i="5"/>
  <c r="S70" i="5"/>
  <c r="O70" i="5"/>
  <c r="T70" i="5"/>
  <c r="P70" i="5"/>
  <c r="U69" i="5"/>
  <c r="Q69" i="5"/>
  <c r="M69" i="5"/>
  <c r="R69" i="5"/>
  <c r="N69" i="5"/>
  <c r="S69" i="5"/>
  <c r="O69" i="5"/>
  <c r="T69" i="5"/>
  <c r="P69" i="5"/>
  <c r="U10" i="5"/>
  <c r="Q10" i="5"/>
  <c r="M10" i="5"/>
  <c r="R10" i="5"/>
  <c r="N10" i="5"/>
  <c r="S10" i="5"/>
  <c r="O10" i="5"/>
  <c r="T10" i="5"/>
  <c r="P10" i="5"/>
  <c r="U79" i="5"/>
  <c r="Q79" i="5"/>
  <c r="M79" i="5"/>
  <c r="R79" i="5"/>
  <c r="N79" i="5"/>
  <c r="S79" i="5"/>
  <c r="O79" i="5"/>
  <c r="T79" i="5"/>
  <c r="P79" i="5"/>
  <c r="N22" i="5"/>
  <c r="N64" i="5"/>
  <c r="O52" i="5"/>
  <c r="O48" i="5"/>
  <c r="O2" i="5"/>
  <c r="P73" i="5"/>
  <c r="R19" i="5"/>
  <c r="S57" i="5"/>
  <c r="S28" i="5"/>
  <c r="T21" i="5"/>
  <c r="T32" i="5"/>
  <c r="P32" i="5"/>
  <c r="U32" i="5"/>
  <c r="Q32" i="5"/>
  <c r="R32" i="5"/>
  <c r="N32" i="5"/>
  <c r="S32" i="5"/>
  <c r="R38" i="5"/>
  <c r="N38" i="5"/>
  <c r="S38" i="5"/>
  <c r="O38" i="5"/>
  <c r="T38" i="5"/>
  <c r="P38" i="5"/>
  <c r="R51" i="5"/>
  <c r="N51" i="5"/>
  <c r="S51" i="5"/>
  <c r="O51" i="5"/>
  <c r="T51" i="5"/>
  <c r="P51" i="5"/>
  <c r="R46" i="5"/>
  <c r="N46" i="5"/>
  <c r="S46" i="5"/>
  <c r="O46" i="5"/>
  <c r="T46" i="5"/>
  <c r="P46" i="5"/>
  <c r="R65" i="5"/>
  <c r="N65" i="5"/>
  <c r="S65" i="5"/>
  <c r="O65" i="5"/>
  <c r="T65" i="5"/>
  <c r="P65" i="5"/>
  <c r="R37" i="5"/>
  <c r="N37" i="5"/>
  <c r="S37" i="5"/>
  <c r="O37" i="5"/>
  <c r="T37" i="5"/>
  <c r="P37" i="5"/>
  <c r="R13" i="5"/>
  <c r="N13" i="5"/>
  <c r="S13" i="5"/>
  <c r="O13" i="5"/>
  <c r="T13" i="5"/>
  <c r="P13" i="5"/>
  <c r="R40" i="5"/>
  <c r="N40" i="5"/>
  <c r="S40" i="5"/>
  <c r="O40" i="5"/>
  <c r="T40" i="5"/>
  <c r="P40" i="5"/>
  <c r="R43" i="5"/>
  <c r="N43" i="5"/>
  <c r="S43" i="5"/>
  <c r="O43" i="5"/>
  <c r="T43" i="5"/>
  <c r="P43" i="5"/>
  <c r="R11" i="5"/>
  <c r="N11" i="5"/>
  <c r="S11" i="5"/>
  <c r="O11" i="5"/>
  <c r="T11" i="5"/>
  <c r="P11" i="5"/>
  <c r="R14" i="5"/>
  <c r="N14" i="5"/>
  <c r="S14" i="5"/>
  <c r="O14" i="5"/>
  <c r="T14" i="5"/>
  <c r="P14" i="5"/>
  <c r="M47" i="5"/>
  <c r="M5" i="5"/>
  <c r="N30" i="5"/>
  <c r="N5" i="5"/>
  <c r="O50" i="5"/>
  <c r="O66" i="5"/>
  <c r="P21" i="5"/>
  <c r="Q13" i="5"/>
  <c r="S54" i="5"/>
  <c r="S29" i="5"/>
  <c r="T18" i="5"/>
  <c r="U40" i="5"/>
  <c r="T58" i="5"/>
  <c r="P58" i="5"/>
  <c r="U58" i="5"/>
  <c r="Q58" i="5"/>
  <c r="R58" i="5"/>
  <c r="N58" i="5"/>
  <c r="S58" i="5"/>
  <c r="R7" i="5"/>
  <c r="N7" i="5"/>
  <c r="S7" i="5"/>
  <c r="O7" i="5"/>
  <c r="T7" i="5"/>
  <c r="P7" i="5"/>
  <c r="U7" i="5"/>
  <c r="Q7" i="5"/>
  <c r="R4" i="5"/>
  <c r="N4" i="5"/>
  <c r="S4" i="5"/>
  <c r="O4" i="5"/>
  <c r="T4" i="5"/>
  <c r="P4" i="5"/>
  <c r="U4" i="5"/>
  <c r="Q4" i="5"/>
  <c r="R42" i="5"/>
  <c r="N42" i="5"/>
  <c r="S42" i="5"/>
  <c r="O42" i="5"/>
  <c r="T42" i="5"/>
  <c r="P42" i="5"/>
  <c r="U42" i="5"/>
  <c r="Q42" i="5"/>
  <c r="R8" i="5"/>
  <c r="N8" i="5"/>
  <c r="S8" i="5"/>
  <c r="O8" i="5"/>
  <c r="T8" i="5"/>
  <c r="P8" i="5"/>
  <c r="U8" i="5"/>
  <c r="Q8" i="5"/>
  <c r="R36" i="5"/>
  <c r="N36" i="5"/>
  <c r="S36" i="5"/>
  <c r="O36" i="5"/>
  <c r="T36" i="5"/>
  <c r="P36" i="5"/>
  <c r="U36" i="5"/>
  <c r="Q36" i="5"/>
  <c r="R24" i="5"/>
  <c r="N24" i="5"/>
  <c r="S24" i="5"/>
  <c r="O24" i="5"/>
  <c r="T24" i="5"/>
  <c r="P24" i="5"/>
  <c r="U24" i="5"/>
  <c r="Q24" i="5"/>
  <c r="R12" i="5"/>
  <c r="N12" i="5"/>
  <c r="S12" i="5"/>
  <c r="O12" i="5"/>
  <c r="T12" i="5"/>
  <c r="P12" i="5"/>
  <c r="U12" i="5"/>
  <c r="Q12" i="5"/>
  <c r="R56" i="5"/>
  <c r="N56" i="5"/>
  <c r="S56" i="5"/>
  <c r="O56" i="5"/>
  <c r="T56" i="5"/>
  <c r="P56" i="5"/>
  <c r="U56" i="5"/>
  <c r="Q56" i="5"/>
  <c r="R41" i="5"/>
  <c r="N41" i="5"/>
  <c r="S41" i="5"/>
  <c r="O41" i="5"/>
  <c r="T41" i="5"/>
  <c r="P41" i="5"/>
  <c r="U41" i="5"/>
  <c r="Q41" i="5"/>
  <c r="R68" i="5"/>
  <c r="N68" i="5"/>
  <c r="S68" i="5"/>
  <c r="O68" i="5"/>
  <c r="T68" i="5"/>
  <c r="P68" i="5"/>
  <c r="U68" i="5"/>
  <c r="Q68" i="5"/>
  <c r="M23" i="5"/>
  <c r="M14" i="5"/>
  <c r="N54" i="5"/>
  <c r="N29" i="5"/>
  <c r="O27" i="5"/>
  <c r="P18" i="5"/>
  <c r="Q40" i="5"/>
  <c r="S50" i="5"/>
  <c r="T39" i="5"/>
  <c r="T26" i="5"/>
  <c r="U43" i="5"/>
  <c r="T59" i="5"/>
  <c r="P59" i="5"/>
  <c r="U59" i="5"/>
  <c r="Q59" i="5"/>
  <c r="R59" i="5"/>
  <c r="N59" i="5"/>
  <c r="S59" i="5"/>
  <c r="S76" i="5"/>
  <c r="O76" i="5"/>
  <c r="T76" i="5"/>
  <c r="P76" i="5"/>
  <c r="U76" i="5"/>
  <c r="Q76" i="5"/>
  <c r="S22" i="5"/>
  <c r="O22" i="5"/>
  <c r="T22" i="5"/>
  <c r="P22" i="5"/>
  <c r="U22" i="5"/>
  <c r="Q22" i="5"/>
  <c r="S19" i="5"/>
  <c r="O19" i="5"/>
  <c r="T19" i="5"/>
  <c r="P19" i="5"/>
  <c r="U19" i="5"/>
  <c r="Q19" i="5"/>
  <c r="S47" i="5"/>
  <c r="O47" i="5"/>
  <c r="T47" i="5"/>
  <c r="P47" i="5"/>
  <c r="U47" i="5"/>
  <c r="Q47" i="5"/>
  <c r="S5" i="5"/>
  <c r="O5" i="5"/>
  <c r="T5" i="5"/>
  <c r="P5" i="5"/>
  <c r="U5" i="5"/>
  <c r="Q5" i="5"/>
  <c r="S34" i="5"/>
  <c r="O34" i="5"/>
  <c r="T34" i="5"/>
  <c r="P34" i="5"/>
  <c r="U34" i="5"/>
  <c r="Q34" i="5"/>
  <c r="S63" i="5"/>
  <c r="O63" i="5"/>
  <c r="T63" i="5"/>
  <c r="P63" i="5"/>
  <c r="U63" i="5"/>
  <c r="Q63" i="5"/>
  <c r="S49" i="5"/>
  <c r="O49" i="5"/>
  <c r="T49" i="5"/>
  <c r="P49" i="5"/>
  <c r="U49" i="5"/>
  <c r="Q49" i="5"/>
  <c r="S15" i="5"/>
  <c r="O15" i="5"/>
  <c r="T15" i="5"/>
  <c r="P15" i="5"/>
  <c r="U15" i="5"/>
  <c r="Q15" i="5"/>
  <c r="S20" i="5"/>
  <c r="O20" i="5"/>
  <c r="T20" i="5"/>
  <c r="P20" i="5"/>
  <c r="U20" i="5"/>
  <c r="Q20" i="5"/>
  <c r="M57" i="5"/>
  <c r="M64" i="5"/>
  <c r="M3" i="5"/>
  <c r="M68" i="5"/>
  <c r="V68" i="5" s="1"/>
  <c r="N19" i="5"/>
  <c r="N67" i="5"/>
  <c r="O62" i="5"/>
  <c r="O58" i="5"/>
  <c r="P39" i="5"/>
  <c r="P26" i="5"/>
  <c r="Q43" i="5"/>
  <c r="R34" i="5"/>
  <c r="S64" i="5"/>
  <c r="T52" i="5"/>
  <c r="U38" i="5"/>
  <c r="U11" i="5"/>
  <c r="T48" i="5"/>
  <c r="P48" i="5"/>
  <c r="U48" i="5"/>
  <c r="Q48" i="5"/>
  <c r="R48" i="5"/>
  <c r="N48" i="5"/>
  <c r="S48" i="5"/>
  <c r="S78" i="5"/>
  <c r="O78" i="5"/>
  <c r="T78" i="5"/>
  <c r="P78" i="5"/>
  <c r="U78" i="5"/>
  <c r="Q78" i="5"/>
  <c r="R78" i="5"/>
  <c r="S30" i="5"/>
  <c r="O30" i="5"/>
  <c r="T30" i="5"/>
  <c r="P30" i="5"/>
  <c r="U30" i="5"/>
  <c r="Q30" i="5"/>
  <c r="R30" i="5"/>
  <c r="S44" i="5"/>
  <c r="O44" i="5"/>
  <c r="T44" i="5"/>
  <c r="P44" i="5"/>
  <c r="U44" i="5"/>
  <c r="Q44" i="5"/>
  <c r="R44" i="5"/>
  <c r="S61" i="5"/>
  <c r="O61" i="5"/>
  <c r="T61" i="5"/>
  <c r="P61" i="5"/>
  <c r="U61" i="5"/>
  <c r="Q61" i="5"/>
  <c r="R61" i="5"/>
  <c r="S23" i="5"/>
  <c r="O23" i="5"/>
  <c r="T23" i="5"/>
  <c r="P23" i="5"/>
  <c r="U23" i="5"/>
  <c r="Q23" i="5"/>
  <c r="R23" i="5"/>
  <c r="S60" i="5"/>
  <c r="O60" i="5"/>
  <c r="T60" i="5"/>
  <c r="P60" i="5"/>
  <c r="U60" i="5"/>
  <c r="Q60" i="5"/>
  <c r="M60" i="5"/>
  <c r="R60" i="5"/>
  <c r="S9" i="5"/>
  <c r="O9" i="5"/>
  <c r="T9" i="5"/>
  <c r="P9" i="5"/>
  <c r="U9" i="5"/>
  <c r="Q9" i="5"/>
  <c r="M9" i="5"/>
  <c r="R9" i="5"/>
  <c r="S74" i="5"/>
  <c r="O74" i="5"/>
  <c r="T74" i="5"/>
  <c r="P74" i="5"/>
  <c r="U74" i="5"/>
  <c r="Q74" i="5"/>
  <c r="M74" i="5"/>
  <c r="R74" i="5"/>
  <c r="S77" i="5"/>
  <c r="O77" i="5"/>
  <c r="T77" i="5"/>
  <c r="P77" i="5"/>
  <c r="U77" i="5"/>
  <c r="Q77" i="5"/>
  <c r="M77" i="5"/>
  <c r="R77" i="5"/>
  <c r="S53" i="5"/>
  <c r="O53" i="5"/>
  <c r="T53" i="5"/>
  <c r="P53" i="5"/>
  <c r="U53" i="5"/>
  <c r="Q53" i="5"/>
  <c r="M53" i="5"/>
  <c r="R53" i="5"/>
  <c r="M55" i="5"/>
  <c r="M32" i="5"/>
  <c r="V32" i="5" s="1"/>
  <c r="M27" i="5"/>
  <c r="M59" i="5"/>
  <c r="M13" i="5"/>
  <c r="M43" i="5"/>
  <c r="M20" i="5"/>
  <c r="N44" i="5"/>
  <c r="N34" i="5"/>
  <c r="O73" i="5"/>
  <c r="P52" i="5"/>
  <c r="Q38" i="5"/>
  <c r="Q11" i="5"/>
  <c r="R63" i="5"/>
  <c r="T62" i="5"/>
  <c r="U51" i="5"/>
  <c r="U14" i="5"/>
  <c r="T55" i="5"/>
  <c r="P55" i="5"/>
  <c r="U55" i="5"/>
  <c r="Q55" i="5"/>
  <c r="R55" i="5"/>
  <c r="N55" i="5"/>
  <c r="S55" i="5"/>
  <c r="T57" i="5"/>
  <c r="P57" i="5"/>
  <c r="U57" i="5"/>
  <c r="Q57" i="5"/>
  <c r="R57" i="5"/>
  <c r="T54" i="5"/>
  <c r="P54" i="5"/>
  <c r="U54" i="5"/>
  <c r="Q54" i="5"/>
  <c r="R54" i="5"/>
  <c r="T50" i="5"/>
  <c r="P50" i="5"/>
  <c r="U50" i="5"/>
  <c r="Q50" i="5"/>
  <c r="R50" i="5"/>
  <c r="T64" i="5"/>
  <c r="P64" i="5"/>
  <c r="U64" i="5"/>
  <c r="Q64" i="5"/>
  <c r="R64" i="5"/>
  <c r="T67" i="5"/>
  <c r="P67" i="5"/>
  <c r="U67" i="5"/>
  <c r="Q67" i="5"/>
  <c r="M67" i="5"/>
  <c r="R67" i="5"/>
  <c r="T75" i="5"/>
  <c r="P75" i="5"/>
  <c r="U75" i="5"/>
  <c r="Q75" i="5"/>
  <c r="M75" i="5"/>
  <c r="R75" i="5"/>
  <c r="T71" i="5"/>
  <c r="P71" i="5"/>
  <c r="U71" i="5"/>
  <c r="Q71" i="5"/>
  <c r="M71" i="5"/>
  <c r="R71" i="5"/>
  <c r="T2" i="5"/>
  <c r="P2" i="5"/>
  <c r="U2" i="5"/>
  <c r="Q2" i="5"/>
  <c r="M2" i="5"/>
  <c r="R2" i="5"/>
  <c r="T28" i="5"/>
  <c r="P28" i="5"/>
  <c r="U28" i="5"/>
  <c r="Q28" i="5"/>
  <c r="M28" i="5"/>
  <c r="R28" i="5"/>
  <c r="T29" i="5"/>
  <c r="P29" i="5"/>
  <c r="U29" i="5"/>
  <c r="Q29" i="5"/>
  <c r="M29" i="5"/>
  <c r="R29" i="5"/>
  <c r="M39" i="5"/>
  <c r="M52" i="5"/>
  <c r="V52" i="5" s="1"/>
  <c r="M62" i="5"/>
  <c r="M33" i="5"/>
  <c r="M24" i="5"/>
  <c r="M56" i="5"/>
  <c r="N76" i="5"/>
  <c r="N50" i="5"/>
  <c r="N60" i="5"/>
  <c r="N15" i="5"/>
  <c r="V15" i="5" s="1"/>
  <c r="O39" i="5"/>
  <c r="O59" i="5"/>
  <c r="O71" i="5"/>
  <c r="P62" i="5"/>
  <c r="Q51" i="5"/>
  <c r="Q14" i="5"/>
  <c r="R49" i="5"/>
  <c r="S75" i="5"/>
  <c r="T33" i="5"/>
  <c r="U46" i="5"/>
  <c r="V36" i="5" l="1"/>
  <c r="V8" i="5"/>
  <c r="V12" i="5"/>
  <c r="V41" i="5"/>
  <c r="V76" i="5"/>
  <c r="V50" i="5"/>
  <c r="V3" i="5"/>
  <c r="V34" i="5"/>
  <c r="V27" i="5"/>
  <c r="V42" i="5"/>
  <c r="V4" i="5"/>
  <c r="V7" i="5"/>
  <c r="V51" i="5"/>
  <c r="V22" i="5"/>
  <c r="V78" i="5"/>
  <c r="V44" i="5"/>
  <c r="V30" i="5"/>
  <c r="V58" i="5"/>
  <c r="V40" i="5"/>
  <c r="V46" i="5"/>
  <c r="V6" i="5"/>
  <c r="V35" i="5"/>
  <c r="V17" i="5"/>
  <c r="V31" i="5"/>
  <c r="V63" i="5"/>
  <c r="V33" i="5"/>
  <c r="V61" i="5"/>
  <c r="V48" i="5"/>
  <c r="V62" i="5"/>
  <c r="V19" i="5"/>
  <c r="V54" i="5"/>
  <c r="V11" i="5"/>
  <c r="V38" i="5"/>
  <c r="V45" i="5"/>
  <c r="V72" i="5"/>
  <c r="V37" i="5"/>
  <c r="V65" i="5"/>
  <c r="V73" i="5"/>
  <c r="V14" i="5"/>
  <c r="V79" i="5"/>
  <c r="V25" i="5"/>
  <c r="V2" i="5"/>
  <c r="V23" i="5"/>
  <c r="V10" i="5"/>
  <c r="V21" i="5"/>
  <c r="V59" i="5"/>
  <c r="V39" i="5"/>
  <c r="V64" i="5"/>
  <c r="V69" i="5"/>
  <c r="V67" i="5"/>
  <c r="V77" i="5"/>
  <c r="V60" i="5"/>
  <c r="V57" i="5"/>
  <c r="V5" i="5"/>
  <c r="V70" i="5"/>
  <c r="V18" i="5"/>
  <c r="V49" i="5"/>
  <c r="V55" i="5"/>
  <c r="V53" i="5"/>
  <c r="V74" i="5"/>
  <c r="V56" i="5"/>
  <c r="V43" i="5"/>
  <c r="V47" i="5"/>
  <c r="V16" i="5"/>
  <c r="V26" i="5"/>
  <c r="V28" i="5"/>
  <c r="V29" i="5"/>
  <c r="V75" i="5"/>
  <c r="V20" i="5"/>
  <c r="V9" i="5"/>
  <c r="V24" i="5"/>
  <c r="V71" i="5"/>
  <c r="V13" i="5"/>
  <c r="V66" i="5"/>
  <c r="N80" i="5"/>
  <c r="R80" i="5"/>
  <c r="M80" i="5"/>
  <c r="S80" i="5"/>
  <c r="Q80" i="5"/>
  <c r="U80" i="5"/>
  <c r="T80" i="5"/>
  <c r="O80" i="5"/>
  <c r="P80" i="5"/>
</calcChain>
</file>

<file path=xl/sharedStrings.xml><?xml version="1.0" encoding="utf-8"?>
<sst xmlns="http://schemas.openxmlformats.org/spreadsheetml/2006/main" count="5191" uniqueCount="288">
  <si>
    <t>ID marqueur</t>
  </si>
  <si>
    <t>Evénement</t>
  </si>
  <si>
    <t>Année</t>
  </si>
  <si>
    <t>Genre</t>
  </si>
  <si>
    <t>Timing début</t>
  </si>
  <si>
    <t>Timing fin</t>
  </si>
  <si>
    <t>Lemme</t>
  </si>
  <si>
    <t>POS-TAG</t>
  </si>
  <si>
    <t>Type morpho-syntaxique</t>
  </si>
  <si>
    <t>Position du marqueur dans l'UCT</t>
  </si>
  <si>
    <t>Position de l'UCT dans le TDP</t>
  </si>
  <si>
    <t>Rôle de l'UCT dans la séquence</t>
  </si>
  <si>
    <t>Regard avant le marqueur</t>
  </si>
  <si>
    <t>Regard pendant le marqueur</t>
  </si>
  <si>
    <t>Regard après le marqueur</t>
  </si>
  <si>
    <t>Présence d'un geste?</t>
  </si>
  <si>
    <t>Type de geste</t>
  </si>
  <si>
    <t>Direction</t>
  </si>
  <si>
    <t>Source</t>
  </si>
  <si>
    <t>Polarité</t>
  </si>
  <si>
    <t>non</t>
  </si>
  <si>
    <t>DPU_UDC</t>
  </si>
  <si>
    <t>Débat public</t>
  </si>
  <si>
    <t>SEMBLER</t>
  </si>
  <si>
    <t>verbe</t>
  </si>
  <si>
    <t>construction attributive à verbe copule</t>
  </si>
  <si>
    <t>milieu</t>
  </si>
  <si>
    <t>indéterminé</t>
  </si>
  <si>
    <t>CH1</t>
  </si>
  <si>
    <t>allocutaire(s)</t>
  </si>
  <si>
    <t>à l'intérieur</t>
  </si>
  <si>
    <t>ML</t>
  </si>
  <si>
    <t>positive</t>
  </si>
  <si>
    <t>DPU_REC</t>
  </si>
  <si>
    <t>PARAÎTRE</t>
  </si>
  <si>
    <t>début*</t>
  </si>
  <si>
    <t>autre</t>
  </si>
  <si>
    <t>oui</t>
  </si>
  <si>
    <t>Meta.Aura</t>
  </si>
  <si>
    <t>P38</t>
  </si>
  <si>
    <t>Deictic.Addressee</t>
  </si>
  <si>
    <t>DTV_SM1</t>
  </si>
  <si>
    <t>Débat télévisé</t>
  </si>
  <si>
    <t>LEV</t>
  </si>
  <si>
    <t>indéterminable</t>
  </si>
  <si>
    <t>impossible à déterminer</t>
  </si>
  <si>
    <t>portée&lt;marqueur</t>
  </si>
  <si>
    <t>DTV_SM2</t>
  </si>
  <si>
    <t>PEL</t>
  </si>
  <si>
    <t>REU_BL1</t>
  </si>
  <si>
    <t>Réunion professionnelle</t>
  </si>
  <si>
    <t>totalité</t>
  </si>
  <si>
    <t>ALE</t>
  </si>
  <si>
    <t>objet (symbolique)</t>
  </si>
  <si>
    <t>Deictic.Object</t>
  </si>
  <si>
    <t>DPU_MED</t>
  </si>
  <si>
    <t>AVOIR L'AIR</t>
  </si>
  <si>
    <t>locution verbale</t>
  </si>
  <si>
    <t>P10</t>
  </si>
  <si>
    <t>CAR</t>
  </si>
  <si>
    <t>SAN</t>
  </si>
  <si>
    <t>DTV_DEM</t>
  </si>
  <si>
    <t>début</t>
  </si>
  <si>
    <t>initiatif</t>
  </si>
  <si>
    <t>LOR</t>
  </si>
  <si>
    <t>BUG</t>
  </si>
  <si>
    <t>Deictic.Indeterminable</t>
  </si>
  <si>
    <t>DTV_VEH</t>
  </si>
  <si>
    <t>fin*</t>
  </si>
  <si>
    <t>fin</t>
  </si>
  <si>
    <t>NOR</t>
  </si>
  <si>
    <t>DPU_BIE</t>
  </si>
  <si>
    <t>AVOIR L'IMPRESSION</t>
  </si>
  <si>
    <t>prédicat verbal à complément</t>
  </si>
  <si>
    <t>P01</t>
  </si>
  <si>
    <t>DEL</t>
  </si>
  <si>
    <t>Deictic.Self</t>
  </si>
  <si>
    <t>marqueur&gt;portée</t>
  </si>
  <si>
    <t>ZEN</t>
  </si>
  <si>
    <t>REB</t>
  </si>
  <si>
    <t>neutre</t>
  </si>
  <si>
    <t>REU_AC1</t>
  </si>
  <si>
    <t>BOR</t>
  </si>
  <si>
    <t>REU_BM3</t>
  </si>
  <si>
    <t>CHR</t>
  </si>
  <si>
    <t>REU_CL1</t>
  </si>
  <si>
    <t>YVA</t>
  </si>
  <si>
    <t>PAU</t>
  </si>
  <si>
    <t>REU_AC2</t>
  </si>
  <si>
    <t>réactif/évaluatif</t>
  </si>
  <si>
    <t>OLR</t>
  </si>
  <si>
    <t>VIN</t>
  </si>
  <si>
    <t>REU_BL2</t>
  </si>
  <si>
    <t>FLO</t>
  </si>
  <si>
    <t>SOP</t>
  </si>
  <si>
    <t>Meta.Cup</t>
  </si>
  <si>
    <t>Deictic.Addressee; Emblem.So-What</t>
  </si>
  <si>
    <t>SAR</t>
  </si>
  <si>
    <t>négative</t>
  </si>
  <si>
    <t>REU_BM1</t>
  </si>
  <si>
    <t>MIC</t>
  </si>
  <si>
    <t>LOU</t>
  </si>
  <si>
    <t>REU_BM2</t>
  </si>
  <si>
    <t>CLA</t>
  </si>
  <si>
    <t>REU_BV1</t>
  </si>
  <si>
    <t>RAP</t>
  </si>
  <si>
    <t>SAC</t>
  </si>
  <si>
    <t>REU_CL4</t>
  </si>
  <si>
    <t>WIL</t>
  </si>
  <si>
    <t>parenthétique</t>
  </si>
  <si>
    <t>REU_AM1</t>
  </si>
  <si>
    <t>ANN</t>
  </si>
  <si>
    <t>DONNER L'IMPRESSION</t>
  </si>
  <si>
    <t>FRA</t>
  </si>
  <si>
    <t>Deictic.Addressee; Meta.Thought-Grip</t>
  </si>
  <si>
    <t>proposition complète</t>
  </si>
  <si>
    <t>Meta.Thought-Grip</t>
  </si>
  <si>
    <t>ROG</t>
  </si>
  <si>
    <t>DTV_REC</t>
  </si>
  <si>
    <t>LAT</t>
  </si>
  <si>
    <t>MEY</t>
  </si>
  <si>
    <t>PTI</t>
  </si>
  <si>
    <t>SAL</t>
  </si>
  <si>
    <t>CHA</t>
  </si>
  <si>
    <t>Meta.Open</t>
  </si>
  <si>
    <t>DPU_ETU</t>
  </si>
  <si>
    <t>FRI</t>
  </si>
  <si>
    <t>Meta.Cup-Flip</t>
  </si>
  <si>
    <t>DPU_PRE</t>
  </si>
  <si>
    <t>P16</t>
  </si>
  <si>
    <t>Meta.Idea</t>
  </si>
  <si>
    <t>DPU_SAL</t>
  </si>
  <si>
    <t>ROU</t>
  </si>
  <si>
    <t>BEN</t>
  </si>
  <si>
    <t>KOP</t>
  </si>
  <si>
    <t>BL1</t>
  </si>
  <si>
    <t>MAI</t>
  </si>
  <si>
    <t>JAN</t>
  </si>
  <si>
    <t>WEI</t>
  </si>
  <si>
    <t>DPU_VEH</t>
  </si>
  <si>
    <t>P03</t>
  </si>
  <si>
    <t>Meta.Walls</t>
  </si>
  <si>
    <t>Meta.Dome</t>
  </si>
  <si>
    <t>BRI</t>
  </si>
  <si>
    <t>à l’intérieur</t>
  </si>
  <si>
    <t>BER</t>
  </si>
  <si>
    <t>ROS</t>
  </si>
  <si>
    <t xml:space="preserve">indéterminable </t>
  </si>
  <si>
    <t>Emblem.So-What</t>
  </si>
  <si>
    <t>AL</t>
  </si>
  <si>
    <t>BAC</t>
  </si>
  <si>
    <t>P06</t>
  </si>
  <si>
    <t>NA1</t>
  </si>
  <si>
    <t>P21</t>
  </si>
  <si>
    <t>REU_BL4</t>
  </si>
  <si>
    <t>LUC</t>
  </si>
  <si>
    <t>OSC</t>
  </si>
  <si>
    <t>AN2</t>
  </si>
  <si>
    <t>tiers</t>
  </si>
  <si>
    <t>P07</t>
  </si>
  <si>
    <t>P08</t>
  </si>
  <si>
    <t>Deictic.Self;Emblem.More-Or-Less</t>
  </si>
  <si>
    <t>P36</t>
  </si>
  <si>
    <t>DAR</t>
  </si>
  <si>
    <t>MAU</t>
  </si>
  <si>
    <t>PON</t>
  </si>
  <si>
    <t>REU_AM2</t>
  </si>
  <si>
    <t>Deictic.Indeterminable;Deictic.Object</t>
  </si>
  <si>
    <t>DOL</t>
  </si>
  <si>
    <t>Deictic.Addressee;Meta.Open</t>
  </si>
  <si>
    <t>Emblem.Doubt-Shrug</t>
  </si>
  <si>
    <t>DUM</t>
  </si>
  <si>
    <t>TOP</t>
  </si>
  <si>
    <t>AN1</t>
  </si>
  <si>
    <t>MOC</t>
  </si>
  <si>
    <t>STA</t>
  </si>
  <si>
    <t>SEB</t>
  </si>
  <si>
    <t>yeux fermés</t>
  </si>
  <si>
    <t>JEA</t>
  </si>
  <si>
    <t>APPAREMMENT</t>
  </si>
  <si>
    <t>adverbe</t>
  </si>
  <si>
    <t>syntagme adverbial</t>
  </si>
  <si>
    <t>SIM</t>
  </si>
  <si>
    <t>ISA</t>
  </si>
  <si>
    <t>?;Deictic.Addressee</t>
  </si>
  <si>
    <t>EVIDEMMENT </t>
  </si>
  <si>
    <t>Meta.Cup;Emblem.Doubt-Shrug</t>
  </si>
  <si>
    <t>Emblem.Anticipation</t>
  </si>
  <si>
    <t>Deictic.Person</t>
  </si>
  <si>
    <t>BON</t>
  </si>
  <si>
    <t>Meta.Emerge</t>
  </si>
  <si>
    <t>Meta.Cup;Deictic.Object</t>
  </si>
  <si>
    <t>P25</t>
  </si>
  <si>
    <t>???</t>
  </si>
  <si>
    <t>Emblem.Finger-Ring</t>
  </si>
  <si>
    <t>P35</t>
  </si>
  <si>
    <t>P32</t>
  </si>
  <si>
    <t>HOD</t>
  </si>
  <si>
    <t>CHE</t>
  </si>
  <si>
    <t>ROC</t>
  </si>
  <si>
    <t>NID</t>
  </si>
  <si>
    <t>FER</t>
  </si>
  <si>
    <t>JMO</t>
  </si>
  <si>
    <t>GEO</t>
  </si>
  <si>
    <t>ANT</t>
  </si>
  <si>
    <t>Deictic.Object;Meta.Cup</t>
  </si>
  <si>
    <t>Deictic.Self+Addressee</t>
  </si>
  <si>
    <t>MANIFESTEMENT</t>
  </si>
  <si>
    <t>P31</t>
  </si>
  <si>
    <t>VISIBLEMENT</t>
  </si>
  <si>
    <t>PEJ</t>
  </si>
  <si>
    <t>CAS</t>
  </si>
  <si>
    <t>STE</t>
  </si>
  <si>
    <t>CNI</t>
  </si>
  <si>
    <t>GRE</t>
  </si>
  <si>
    <t>SDZ</t>
  </si>
  <si>
    <t>Personnes ontologiques</t>
  </si>
  <si>
    <t>PARAITRE</t>
  </si>
  <si>
    <t>EVIDEMMENT</t>
  </si>
  <si>
    <t>TOTAL</t>
  </si>
  <si>
    <t>Temps de parole total personnes ontologiques</t>
  </si>
  <si>
    <t>avoir l'air [look like] per 10 min</t>
  </si>
  <si>
    <t>avoir l'impression [feel] per 10 min</t>
  </si>
  <si>
    <t>donner l'impression [give the impression] per 10 min</t>
  </si>
  <si>
    <t>paraître [appear] per 10 min</t>
  </si>
  <si>
    <t>sembler [seem] per 10 min</t>
  </si>
  <si>
    <t>apparemment [apparently] per 10 min</t>
  </si>
  <si>
    <t>évidemment [obviously] per 10 min</t>
  </si>
  <si>
    <t>manifestement [clearly] per 10 min</t>
  </si>
  <si>
    <t>visiblement [visibly] per 10 min</t>
  </si>
  <si>
    <t>Total par 10 min</t>
  </si>
  <si>
    <t>ISA = stagiaire, AC1 et suite à un téléphone pendant la réunion, elle dit : &lt;((parle à jean)) elle t'avait apparemment elle t'avait appelé la semaine dernière&gt; ; au total elle s'exprime 18 secondes ; intéressant // à statut et // public</t>
  </si>
  <si>
    <t>P52</t>
  </si>
  <si>
    <t>RSI</t>
  </si>
  <si>
    <t>P19</t>
  </si>
  <si>
    <t>Total général</t>
  </si>
  <si>
    <t>Personne ONTO</t>
  </si>
  <si>
    <t>Temps parole total</t>
  </si>
  <si>
    <t>unspecified</t>
  </si>
  <si>
    <t>MA1</t>
  </si>
  <si>
    <t>voix off</t>
  </si>
  <si>
    <t>JMR</t>
  </si>
  <si>
    <t>EMM</t>
  </si>
  <si>
    <t>ROB</t>
  </si>
  <si>
    <t>DAP</t>
  </si>
  <si>
    <t>SSO</t>
  </si>
  <si>
    <t>MOR</t>
  </si>
  <si>
    <t>SNG</t>
  </si>
  <si>
    <t>FCI</t>
  </si>
  <si>
    <t>HAL</t>
  </si>
  <si>
    <t>MIE</t>
  </si>
  <si>
    <t>JUL</t>
  </si>
  <si>
    <t>AN3</t>
  </si>
  <si>
    <t>THU</t>
  </si>
  <si>
    <t>P02</t>
  </si>
  <si>
    <t>P23</t>
  </si>
  <si>
    <t>BGD</t>
  </si>
  <si>
    <t>HUG</t>
  </si>
  <si>
    <t>ZUF</t>
  </si>
  <si>
    <t>MEN</t>
  </si>
  <si>
    <t>THE</t>
  </si>
  <si>
    <t>SCH</t>
  </si>
  <si>
    <t>WEB</t>
  </si>
  <si>
    <t>PET</t>
  </si>
  <si>
    <t>LIS</t>
  </si>
  <si>
    <t>MAP</t>
  </si>
  <si>
    <t>P20</t>
  </si>
  <si>
    <t>P09</t>
  </si>
  <si>
    <t>P05</t>
  </si>
  <si>
    <t>P42</t>
  </si>
  <si>
    <t>P40</t>
  </si>
  <si>
    <t>P34</t>
  </si>
  <si>
    <t>BND</t>
  </si>
  <si>
    <t>MMX</t>
  </si>
  <si>
    <t>P51</t>
  </si>
  <si>
    <t>P50</t>
  </si>
  <si>
    <t>BLO</t>
  </si>
  <si>
    <t>P33</t>
  </si>
  <si>
    <t>P13</t>
  </si>
  <si>
    <t>P27</t>
  </si>
  <si>
    <t>ADA</t>
  </si>
  <si>
    <t>P15</t>
  </si>
  <si>
    <t>F07</t>
  </si>
  <si>
    <t>JAC</t>
  </si>
  <si>
    <t>F05</t>
  </si>
  <si>
    <t>P48</t>
  </si>
  <si>
    <t>JAQ</t>
  </si>
  <si>
    <t>ROH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</si>
</sst>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0000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/>
    <xf numFmtId="0" fontId="3" fillId="4" borderId="1" xfId="0" applyFont="1" applyFill="1" applyBorder="1"/>
    <xf numFmtId="0" fontId="2" fillId="0" borderId="0" xfId="0" applyFont="1" applyAlignment="1">
      <alignment horizontal="left"/>
    </xf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baseline="0">
                <a:effectLst/>
              </a:rPr>
              <a:t>Tokens/Lemma/10 minutes of talk * Speakers</a:t>
            </a:r>
            <a:endParaRPr lang="fr-CH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2.3909734790523999E-2"/>
          <c:y val="7.7536278480931628E-2"/>
          <c:w val="0.96511561406119128"/>
          <c:h val="0.72978092810877038"/>
        </c:manualLayout>
      </c:layout>
      <c:barChart>
        <c:barDir val="col"/>
        <c:grouping val="stacked"/>
        <c:varyColors val="0"/>
        <c:ser>
          <c:idx val="11"/>
          <c:order val="0"/>
          <c:tx>
            <c:strRef>
              <c:f>'TOKEN PAR PERS_ONTO'!$M$1</c:f>
              <c:strCache>
                <c:ptCount val="1"/>
                <c:pt idx="0">
                  <c:v>avoir l'air [look like] per 10 min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'TOKEN PAR PERS_ONTO'!$A$2:$A$79</c:f>
              <c:strCache>
                <c:ptCount val="78"/>
                <c:pt idx="0">
                  <c:v>CH1</c:v>
                </c:pt>
                <c:pt idx="1">
                  <c:v>DOL</c:v>
                </c:pt>
                <c:pt idx="2">
                  <c:v>SAN</c:v>
                </c:pt>
                <c:pt idx="3">
                  <c:v>NA1</c:v>
                </c:pt>
                <c:pt idx="4">
                  <c:v>OLR</c:v>
                </c:pt>
                <c:pt idx="5">
                  <c:v>YVA</c:v>
                </c:pt>
                <c:pt idx="6">
                  <c:v>P16</c:v>
                </c:pt>
                <c:pt idx="7">
                  <c:v>P52</c:v>
                </c:pt>
                <c:pt idx="8">
                  <c:v>BRI</c:v>
                </c:pt>
                <c:pt idx="9">
                  <c:v>BOR</c:v>
                </c:pt>
                <c:pt idx="10">
                  <c:v>FLO</c:v>
                </c:pt>
                <c:pt idx="11">
                  <c:v>LEV</c:v>
                </c:pt>
                <c:pt idx="12">
                  <c:v>AN2</c:v>
                </c:pt>
                <c:pt idx="13">
                  <c:v>BL1</c:v>
                </c:pt>
                <c:pt idx="14">
                  <c:v>LOR</c:v>
                </c:pt>
                <c:pt idx="15">
                  <c:v>RAP</c:v>
                </c:pt>
                <c:pt idx="16">
                  <c:v>BUG</c:v>
                </c:pt>
                <c:pt idx="17">
                  <c:v>PEL</c:v>
                </c:pt>
                <c:pt idx="18">
                  <c:v>ALE</c:v>
                </c:pt>
                <c:pt idx="19">
                  <c:v>DEL</c:v>
                </c:pt>
                <c:pt idx="20">
                  <c:v>SAL</c:v>
                </c:pt>
                <c:pt idx="21">
                  <c:v>MIC</c:v>
                </c:pt>
                <c:pt idx="22">
                  <c:v>LAT</c:v>
                </c:pt>
                <c:pt idx="23">
                  <c:v>FRI</c:v>
                </c:pt>
                <c:pt idx="24">
                  <c:v>ANT</c:v>
                </c:pt>
                <c:pt idx="25">
                  <c:v>P32</c:v>
                </c:pt>
                <c:pt idx="26">
                  <c:v>BEN</c:v>
                </c:pt>
                <c:pt idx="27">
                  <c:v>MAI</c:v>
                </c:pt>
                <c:pt idx="28">
                  <c:v>RSI</c:v>
                </c:pt>
                <c:pt idx="29">
                  <c:v>SEB</c:v>
                </c:pt>
                <c:pt idx="30">
                  <c:v>ROG</c:v>
                </c:pt>
                <c:pt idx="31">
                  <c:v>P01</c:v>
                </c:pt>
                <c:pt idx="32">
                  <c:v>KOP</c:v>
                </c:pt>
                <c:pt idx="33">
                  <c:v>P21</c:v>
                </c:pt>
                <c:pt idx="34">
                  <c:v>NID</c:v>
                </c:pt>
                <c:pt idx="35">
                  <c:v>NOR</c:v>
                </c:pt>
                <c:pt idx="36">
                  <c:v>ZEN</c:v>
                </c:pt>
                <c:pt idx="37">
                  <c:v>SIM</c:v>
                </c:pt>
                <c:pt idx="38">
                  <c:v>FRA</c:v>
                </c:pt>
                <c:pt idx="39">
                  <c:v>BON</c:v>
                </c:pt>
                <c:pt idx="40">
                  <c:v>PON</c:v>
                </c:pt>
                <c:pt idx="41">
                  <c:v>CLA</c:v>
                </c:pt>
                <c:pt idx="42">
                  <c:v>PAU</c:v>
                </c:pt>
                <c:pt idx="43">
                  <c:v>CAR</c:v>
                </c:pt>
                <c:pt idx="44">
                  <c:v>PTI</c:v>
                </c:pt>
                <c:pt idx="45">
                  <c:v>P10</c:v>
                </c:pt>
                <c:pt idx="46">
                  <c:v>MAU</c:v>
                </c:pt>
                <c:pt idx="47">
                  <c:v>CHE</c:v>
                </c:pt>
                <c:pt idx="48">
                  <c:v>P36</c:v>
                </c:pt>
                <c:pt idx="49">
                  <c:v>SAR</c:v>
                </c:pt>
                <c:pt idx="50">
                  <c:v>ROC</c:v>
                </c:pt>
                <c:pt idx="51">
                  <c:v>JAN</c:v>
                </c:pt>
                <c:pt idx="52">
                  <c:v>ROU</c:v>
                </c:pt>
                <c:pt idx="53">
                  <c:v>SOP</c:v>
                </c:pt>
                <c:pt idx="54">
                  <c:v>CHR</c:v>
                </c:pt>
                <c:pt idx="55">
                  <c:v>STA</c:v>
                </c:pt>
                <c:pt idx="56">
                  <c:v>ISA</c:v>
                </c:pt>
                <c:pt idx="57">
                  <c:v>P03</c:v>
                </c:pt>
                <c:pt idx="58">
                  <c:v>JMO</c:v>
                </c:pt>
                <c:pt idx="59">
                  <c:v>P08</c:v>
                </c:pt>
                <c:pt idx="60">
                  <c:v>P31</c:v>
                </c:pt>
                <c:pt idx="61">
                  <c:v>FER</c:v>
                </c:pt>
                <c:pt idx="62">
                  <c:v>P07</c:v>
                </c:pt>
                <c:pt idx="63">
                  <c:v>P19</c:v>
                </c:pt>
                <c:pt idx="64">
                  <c:v>LUC</c:v>
                </c:pt>
                <c:pt idx="65">
                  <c:v>MEY</c:v>
                </c:pt>
                <c:pt idx="66">
                  <c:v>AN1</c:v>
                </c:pt>
                <c:pt idx="67">
                  <c:v>DAR</c:v>
                </c:pt>
                <c:pt idx="68">
                  <c:v>GEO</c:v>
                </c:pt>
                <c:pt idx="69">
                  <c:v>DUM</c:v>
                </c:pt>
                <c:pt idx="70">
                  <c:v>BAC</c:v>
                </c:pt>
                <c:pt idx="71">
                  <c:v>HOD</c:v>
                </c:pt>
                <c:pt idx="72">
                  <c:v>CHA</c:v>
                </c:pt>
                <c:pt idx="73">
                  <c:v>JEA</c:v>
                </c:pt>
                <c:pt idx="74">
                  <c:v>WIL</c:v>
                </c:pt>
                <c:pt idx="75">
                  <c:v>BER</c:v>
                </c:pt>
                <c:pt idx="76">
                  <c:v>WEI</c:v>
                </c:pt>
                <c:pt idx="77">
                  <c:v>ANN</c:v>
                </c:pt>
              </c:strCache>
            </c:strRef>
          </c:cat>
          <c:val>
            <c:numRef>
              <c:f>'TOKEN PAR PERS_ONTO'!$M$2:$M$79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1.2878196408592977</c:v>
                </c:pt>
                <c:pt idx="3">
                  <c:v>0</c:v>
                </c:pt>
                <c:pt idx="4">
                  <c:v>1.1963336361829779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0.45294265519513899</c:v>
                </c:pt>
                <c:pt idx="9">
                  <c:v>0.15319198479109974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0.38512740656488181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1.0445882494267822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0.27953717960962632</c:v>
                </c:pt>
                <c:pt idx="43">
                  <c:v>0.24554409092006602</c:v>
                </c:pt>
                <c:pt idx="44">
                  <c:v>0</c:v>
                </c:pt>
                <c:pt idx="45">
                  <c:v>5.2347342063706712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64C-FB49-B4AE-D23207F911E2}"/>
            </c:ext>
          </c:extLst>
        </c:ser>
        <c:ser>
          <c:idx val="12"/>
          <c:order val="1"/>
          <c:tx>
            <c:strRef>
              <c:f>'TOKEN PAR PERS_ONTO'!$N$1</c:f>
              <c:strCache>
                <c:ptCount val="1"/>
                <c:pt idx="0">
                  <c:v>avoir l'impression [feel] per 10 min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'TOKEN PAR PERS_ONTO'!$A$2:$A$79</c:f>
              <c:strCache>
                <c:ptCount val="78"/>
                <c:pt idx="0">
                  <c:v>CH1</c:v>
                </c:pt>
                <c:pt idx="1">
                  <c:v>DOL</c:v>
                </c:pt>
                <c:pt idx="2">
                  <c:v>SAN</c:v>
                </c:pt>
                <c:pt idx="3">
                  <c:v>NA1</c:v>
                </c:pt>
                <c:pt idx="4">
                  <c:v>OLR</c:v>
                </c:pt>
                <c:pt idx="5">
                  <c:v>YVA</c:v>
                </c:pt>
                <c:pt idx="6">
                  <c:v>P16</c:v>
                </c:pt>
                <c:pt idx="7">
                  <c:v>P52</c:v>
                </c:pt>
                <c:pt idx="8">
                  <c:v>BRI</c:v>
                </c:pt>
                <c:pt idx="9">
                  <c:v>BOR</c:v>
                </c:pt>
                <c:pt idx="10">
                  <c:v>FLO</c:v>
                </c:pt>
                <c:pt idx="11">
                  <c:v>LEV</c:v>
                </c:pt>
                <c:pt idx="12">
                  <c:v>AN2</c:v>
                </c:pt>
                <c:pt idx="13">
                  <c:v>BL1</c:v>
                </c:pt>
                <c:pt idx="14">
                  <c:v>LOR</c:v>
                </c:pt>
                <c:pt idx="15">
                  <c:v>RAP</c:v>
                </c:pt>
                <c:pt idx="16">
                  <c:v>BUG</c:v>
                </c:pt>
                <c:pt idx="17">
                  <c:v>PEL</c:v>
                </c:pt>
                <c:pt idx="18">
                  <c:v>ALE</c:v>
                </c:pt>
                <c:pt idx="19">
                  <c:v>DEL</c:v>
                </c:pt>
                <c:pt idx="20">
                  <c:v>SAL</c:v>
                </c:pt>
                <c:pt idx="21">
                  <c:v>MIC</c:v>
                </c:pt>
                <c:pt idx="22">
                  <c:v>LAT</c:v>
                </c:pt>
                <c:pt idx="23">
                  <c:v>FRI</c:v>
                </c:pt>
                <c:pt idx="24">
                  <c:v>ANT</c:v>
                </c:pt>
                <c:pt idx="25">
                  <c:v>P32</c:v>
                </c:pt>
                <c:pt idx="26">
                  <c:v>BEN</c:v>
                </c:pt>
                <c:pt idx="27">
                  <c:v>MAI</c:v>
                </c:pt>
                <c:pt idx="28">
                  <c:v>RSI</c:v>
                </c:pt>
                <c:pt idx="29">
                  <c:v>SEB</c:v>
                </c:pt>
                <c:pt idx="30">
                  <c:v>ROG</c:v>
                </c:pt>
                <c:pt idx="31">
                  <c:v>P01</c:v>
                </c:pt>
                <c:pt idx="32">
                  <c:v>KOP</c:v>
                </c:pt>
                <c:pt idx="33">
                  <c:v>P21</c:v>
                </c:pt>
                <c:pt idx="34">
                  <c:v>NID</c:v>
                </c:pt>
                <c:pt idx="35">
                  <c:v>NOR</c:v>
                </c:pt>
                <c:pt idx="36">
                  <c:v>ZEN</c:v>
                </c:pt>
                <c:pt idx="37">
                  <c:v>SIM</c:v>
                </c:pt>
                <c:pt idx="38">
                  <c:v>FRA</c:v>
                </c:pt>
                <c:pt idx="39">
                  <c:v>BON</c:v>
                </c:pt>
                <c:pt idx="40">
                  <c:v>PON</c:v>
                </c:pt>
                <c:pt idx="41">
                  <c:v>CLA</c:v>
                </c:pt>
                <c:pt idx="42">
                  <c:v>PAU</c:v>
                </c:pt>
                <c:pt idx="43">
                  <c:v>CAR</c:v>
                </c:pt>
                <c:pt idx="44">
                  <c:v>PTI</c:v>
                </c:pt>
                <c:pt idx="45">
                  <c:v>P10</c:v>
                </c:pt>
                <c:pt idx="46">
                  <c:v>MAU</c:v>
                </c:pt>
                <c:pt idx="47">
                  <c:v>CHE</c:v>
                </c:pt>
                <c:pt idx="48">
                  <c:v>P36</c:v>
                </c:pt>
                <c:pt idx="49">
                  <c:v>SAR</c:v>
                </c:pt>
                <c:pt idx="50">
                  <c:v>ROC</c:v>
                </c:pt>
                <c:pt idx="51">
                  <c:v>JAN</c:v>
                </c:pt>
                <c:pt idx="52">
                  <c:v>ROU</c:v>
                </c:pt>
                <c:pt idx="53">
                  <c:v>SOP</c:v>
                </c:pt>
                <c:pt idx="54">
                  <c:v>CHR</c:v>
                </c:pt>
                <c:pt idx="55">
                  <c:v>STA</c:v>
                </c:pt>
                <c:pt idx="56">
                  <c:v>ISA</c:v>
                </c:pt>
                <c:pt idx="57">
                  <c:v>P03</c:v>
                </c:pt>
                <c:pt idx="58">
                  <c:v>JMO</c:v>
                </c:pt>
                <c:pt idx="59">
                  <c:v>P08</c:v>
                </c:pt>
                <c:pt idx="60">
                  <c:v>P31</c:v>
                </c:pt>
                <c:pt idx="61">
                  <c:v>FER</c:v>
                </c:pt>
                <c:pt idx="62">
                  <c:v>P07</c:v>
                </c:pt>
                <c:pt idx="63">
                  <c:v>P19</c:v>
                </c:pt>
                <c:pt idx="64">
                  <c:v>LUC</c:v>
                </c:pt>
                <c:pt idx="65">
                  <c:v>MEY</c:v>
                </c:pt>
                <c:pt idx="66">
                  <c:v>AN1</c:v>
                </c:pt>
                <c:pt idx="67">
                  <c:v>DAR</c:v>
                </c:pt>
                <c:pt idx="68">
                  <c:v>GEO</c:v>
                </c:pt>
                <c:pt idx="69">
                  <c:v>DUM</c:v>
                </c:pt>
                <c:pt idx="70">
                  <c:v>BAC</c:v>
                </c:pt>
                <c:pt idx="71">
                  <c:v>HOD</c:v>
                </c:pt>
                <c:pt idx="72">
                  <c:v>CHA</c:v>
                </c:pt>
                <c:pt idx="73">
                  <c:v>JEA</c:v>
                </c:pt>
                <c:pt idx="74">
                  <c:v>WIL</c:v>
                </c:pt>
                <c:pt idx="75">
                  <c:v>BER</c:v>
                </c:pt>
                <c:pt idx="76">
                  <c:v>WEI</c:v>
                </c:pt>
                <c:pt idx="77">
                  <c:v>ANN</c:v>
                </c:pt>
              </c:strCache>
            </c:strRef>
          </c:cat>
          <c:val>
            <c:numRef>
              <c:f>'TOKEN PAR PERS_ONTO'!$N$2:$N$79</c:f>
              <c:numCache>
                <c:formatCode>General</c:formatCode>
                <c:ptCount val="78"/>
                <c:pt idx="0">
                  <c:v>0.2654303510758777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1.1963336361829779</c:v>
                </c:pt>
                <c:pt idx="5">
                  <c:v>0.6627632366705426</c:v>
                </c:pt>
                <c:pt idx="6">
                  <c:v>2.0933567324096978</c:v>
                </c:pt>
                <c:pt idx="7">
                  <c:v>1.2117001769082258</c:v>
                </c:pt>
                <c:pt idx="8">
                  <c:v>1.811770620780556</c:v>
                </c:pt>
                <c:pt idx="9">
                  <c:v>0.45957595437329929</c:v>
                </c:pt>
                <c:pt idx="10">
                  <c:v>2.4021266828231926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0.89337517637955743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0.26508200643221491</c:v>
                </c:pt>
                <c:pt idx="22">
                  <c:v>0</c:v>
                </c:pt>
                <c:pt idx="23">
                  <c:v>1.6674448075768693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0.17154154378812331</c:v>
                </c:pt>
                <c:pt idx="31">
                  <c:v>13.855852943214098</c:v>
                </c:pt>
                <c:pt idx="32">
                  <c:v>6.6720784636427322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1.7377754736162239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0.57832161428839945</c:v>
                </c:pt>
                <c:pt idx="41">
                  <c:v>0.42683633885398709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5.2347342063706712</c:v>
                </c:pt>
                <c:pt idx="46">
                  <c:v>7.8728275916364332</c:v>
                </c:pt>
                <c:pt idx="47">
                  <c:v>0</c:v>
                </c:pt>
                <c:pt idx="48">
                  <c:v>5.9707730658426996</c:v>
                </c:pt>
                <c:pt idx="49">
                  <c:v>2.916699074434161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0.33522287292706554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7.4526755105082731</c:v>
                </c:pt>
                <c:pt idx="60">
                  <c:v>0</c:v>
                </c:pt>
                <c:pt idx="61">
                  <c:v>0</c:v>
                </c:pt>
                <c:pt idx="62">
                  <c:v>2.3323977826671749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1.1526580294158331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0.71359251013301361</c:v>
                </c:pt>
                <c:pt idx="75">
                  <c:v>0</c:v>
                </c:pt>
                <c:pt idx="76">
                  <c:v>0</c:v>
                </c:pt>
                <c:pt idx="77">
                  <c:v>0.50041075382709965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64C-FB49-B4AE-D23207F911E2}"/>
            </c:ext>
          </c:extLst>
        </c:ser>
        <c:ser>
          <c:idx val="13"/>
          <c:order val="2"/>
          <c:tx>
            <c:strRef>
              <c:f>'TOKEN PAR PERS_ONTO'!$O$1</c:f>
              <c:strCache>
                <c:ptCount val="1"/>
                <c:pt idx="0">
                  <c:v>donner l'impression [give the impression] per 10 min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'TOKEN PAR PERS_ONTO'!$A$2:$A$79</c:f>
              <c:strCache>
                <c:ptCount val="78"/>
                <c:pt idx="0">
                  <c:v>CH1</c:v>
                </c:pt>
                <c:pt idx="1">
                  <c:v>DOL</c:v>
                </c:pt>
                <c:pt idx="2">
                  <c:v>SAN</c:v>
                </c:pt>
                <c:pt idx="3">
                  <c:v>NA1</c:v>
                </c:pt>
                <c:pt idx="4">
                  <c:v>OLR</c:v>
                </c:pt>
                <c:pt idx="5">
                  <c:v>YVA</c:v>
                </c:pt>
                <c:pt idx="6">
                  <c:v>P16</c:v>
                </c:pt>
                <c:pt idx="7">
                  <c:v>P52</c:v>
                </c:pt>
                <c:pt idx="8">
                  <c:v>BRI</c:v>
                </c:pt>
                <c:pt idx="9">
                  <c:v>BOR</c:v>
                </c:pt>
                <c:pt idx="10">
                  <c:v>FLO</c:v>
                </c:pt>
                <c:pt idx="11">
                  <c:v>LEV</c:v>
                </c:pt>
                <c:pt idx="12">
                  <c:v>AN2</c:v>
                </c:pt>
                <c:pt idx="13">
                  <c:v>BL1</c:v>
                </c:pt>
                <c:pt idx="14">
                  <c:v>LOR</c:v>
                </c:pt>
                <c:pt idx="15">
                  <c:v>RAP</c:v>
                </c:pt>
                <c:pt idx="16">
                  <c:v>BUG</c:v>
                </c:pt>
                <c:pt idx="17">
                  <c:v>PEL</c:v>
                </c:pt>
                <c:pt idx="18">
                  <c:v>ALE</c:v>
                </c:pt>
                <c:pt idx="19">
                  <c:v>DEL</c:v>
                </c:pt>
                <c:pt idx="20">
                  <c:v>SAL</c:v>
                </c:pt>
                <c:pt idx="21">
                  <c:v>MIC</c:v>
                </c:pt>
                <c:pt idx="22">
                  <c:v>LAT</c:v>
                </c:pt>
                <c:pt idx="23">
                  <c:v>FRI</c:v>
                </c:pt>
                <c:pt idx="24">
                  <c:v>ANT</c:v>
                </c:pt>
                <c:pt idx="25">
                  <c:v>P32</c:v>
                </c:pt>
                <c:pt idx="26">
                  <c:v>BEN</c:v>
                </c:pt>
                <c:pt idx="27">
                  <c:v>MAI</c:v>
                </c:pt>
                <c:pt idx="28">
                  <c:v>RSI</c:v>
                </c:pt>
                <c:pt idx="29">
                  <c:v>SEB</c:v>
                </c:pt>
                <c:pt idx="30">
                  <c:v>ROG</c:v>
                </c:pt>
                <c:pt idx="31">
                  <c:v>P01</c:v>
                </c:pt>
                <c:pt idx="32">
                  <c:v>KOP</c:v>
                </c:pt>
                <c:pt idx="33">
                  <c:v>P21</c:v>
                </c:pt>
                <c:pt idx="34">
                  <c:v>NID</c:v>
                </c:pt>
                <c:pt idx="35">
                  <c:v>NOR</c:v>
                </c:pt>
                <c:pt idx="36">
                  <c:v>ZEN</c:v>
                </c:pt>
                <c:pt idx="37">
                  <c:v>SIM</c:v>
                </c:pt>
                <c:pt idx="38">
                  <c:v>FRA</c:v>
                </c:pt>
                <c:pt idx="39">
                  <c:v>BON</c:v>
                </c:pt>
                <c:pt idx="40">
                  <c:v>PON</c:v>
                </c:pt>
                <c:pt idx="41">
                  <c:v>CLA</c:v>
                </c:pt>
                <c:pt idx="42">
                  <c:v>PAU</c:v>
                </c:pt>
                <c:pt idx="43">
                  <c:v>CAR</c:v>
                </c:pt>
                <c:pt idx="44">
                  <c:v>PTI</c:v>
                </c:pt>
                <c:pt idx="45">
                  <c:v>P10</c:v>
                </c:pt>
                <c:pt idx="46">
                  <c:v>MAU</c:v>
                </c:pt>
                <c:pt idx="47">
                  <c:v>CHE</c:v>
                </c:pt>
                <c:pt idx="48">
                  <c:v>P36</c:v>
                </c:pt>
                <c:pt idx="49">
                  <c:v>SAR</c:v>
                </c:pt>
                <c:pt idx="50">
                  <c:v>ROC</c:v>
                </c:pt>
                <c:pt idx="51">
                  <c:v>JAN</c:v>
                </c:pt>
                <c:pt idx="52">
                  <c:v>ROU</c:v>
                </c:pt>
                <c:pt idx="53">
                  <c:v>SOP</c:v>
                </c:pt>
                <c:pt idx="54">
                  <c:v>CHR</c:v>
                </c:pt>
                <c:pt idx="55">
                  <c:v>STA</c:v>
                </c:pt>
                <c:pt idx="56">
                  <c:v>ISA</c:v>
                </c:pt>
                <c:pt idx="57">
                  <c:v>P03</c:v>
                </c:pt>
                <c:pt idx="58">
                  <c:v>JMO</c:v>
                </c:pt>
                <c:pt idx="59">
                  <c:v>P08</c:v>
                </c:pt>
                <c:pt idx="60">
                  <c:v>P31</c:v>
                </c:pt>
                <c:pt idx="61">
                  <c:v>FER</c:v>
                </c:pt>
                <c:pt idx="62">
                  <c:v>P07</c:v>
                </c:pt>
                <c:pt idx="63">
                  <c:v>P19</c:v>
                </c:pt>
                <c:pt idx="64">
                  <c:v>LUC</c:v>
                </c:pt>
                <c:pt idx="65">
                  <c:v>MEY</c:v>
                </c:pt>
                <c:pt idx="66">
                  <c:v>AN1</c:v>
                </c:pt>
                <c:pt idx="67">
                  <c:v>DAR</c:v>
                </c:pt>
                <c:pt idx="68">
                  <c:v>GEO</c:v>
                </c:pt>
                <c:pt idx="69">
                  <c:v>DUM</c:v>
                </c:pt>
                <c:pt idx="70">
                  <c:v>BAC</c:v>
                </c:pt>
                <c:pt idx="71">
                  <c:v>HOD</c:v>
                </c:pt>
                <c:pt idx="72">
                  <c:v>CHA</c:v>
                </c:pt>
                <c:pt idx="73">
                  <c:v>JEA</c:v>
                </c:pt>
                <c:pt idx="74">
                  <c:v>WIL</c:v>
                </c:pt>
                <c:pt idx="75">
                  <c:v>BER</c:v>
                </c:pt>
                <c:pt idx="76">
                  <c:v>WEI</c:v>
                </c:pt>
                <c:pt idx="77">
                  <c:v>ANN</c:v>
                </c:pt>
              </c:strCache>
            </c:strRef>
          </c:cat>
          <c:val>
            <c:numRef>
              <c:f>'TOKEN PAR PERS_ONTO'!$O$2:$O$79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0.15319198479109974</c:v>
                </c:pt>
                <c:pt idx="10">
                  <c:v>1.6014177885487952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0.17154154378812331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0.68465873755775375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64C-FB49-B4AE-D23207F911E2}"/>
            </c:ext>
          </c:extLst>
        </c:ser>
        <c:ser>
          <c:idx val="14"/>
          <c:order val="3"/>
          <c:tx>
            <c:strRef>
              <c:f>'TOKEN PAR PERS_ONTO'!$P$1</c:f>
              <c:strCache>
                <c:ptCount val="1"/>
                <c:pt idx="0">
                  <c:v>paraître [appear] per 10 min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'TOKEN PAR PERS_ONTO'!$A$2:$A$79</c:f>
              <c:strCache>
                <c:ptCount val="78"/>
                <c:pt idx="0">
                  <c:v>CH1</c:v>
                </c:pt>
                <c:pt idx="1">
                  <c:v>DOL</c:v>
                </c:pt>
                <c:pt idx="2">
                  <c:v>SAN</c:v>
                </c:pt>
                <c:pt idx="3">
                  <c:v>NA1</c:v>
                </c:pt>
                <c:pt idx="4">
                  <c:v>OLR</c:v>
                </c:pt>
                <c:pt idx="5">
                  <c:v>YVA</c:v>
                </c:pt>
                <c:pt idx="6">
                  <c:v>P16</c:v>
                </c:pt>
                <c:pt idx="7">
                  <c:v>P52</c:v>
                </c:pt>
                <c:pt idx="8">
                  <c:v>BRI</c:v>
                </c:pt>
                <c:pt idx="9">
                  <c:v>BOR</c:v>
                </c:pt>
                <c:pt idx="10">
                  <c:v>FLO</c:v>
                </c:pt>
                <c:pt idx="11">
                  <c:v>LEV</c:v>
                </c:pt>
                <c:pt idx="12">
                  <c:v>AN2</c:v>
                </c:pt>
                <c:pt idx="13">
                  <c:v>BL1</c:v>
                </c:pt>
                <c:pt idx="14">
                  <c:v>LOR</c:v>
                </c:pt>
                <c:pt idx="15">
                  <c:v>RAP</c:v>
                </c:pt>
                <c:pt idx="16">
                  <c:v>BUG</c:v>
                </c:pt>
                <c:pt idx="17">
                  <c:v>PEL</c:v>
                </c:pt>
                <c:pt idx="18">
                  <c:v>ALE</c:v>
                </c:pt>
                <c:pt idx="19">
                  <c:v>DEL</c:v>
                </c:pt>
                <c:pt idx="20">
                  <c:v>SAL</c:v>
                </c:pt>
                <c:pt idx="21">
                  <c:v>MIC</c:v>
                </c:pt>
                <c:pt idx="22">
                  <c:v>LAT</c:v>
                </c:pt>
                <c:pt idx="23">
                  <c:v>FRI</c:v>
                </c:pt>
                <c:pt idx="24">
                  <c:v>ANT</c:v>
                </c:pt>
                <c:pt idx="25">
                  <c:v>P32</c:v>
                </c:pt>
                <c:pt idx="26">
                  <c:v>BEN</c:v>
                </c:pt>
                <c:pt idx="27">
                  <c:v>MAI</c:v>
                </c:pt>
                <c:pt idx="28">
                  <c:v>RSI</c:v>
                </c:pt>
                <c:pt idx="29">
                  <c:v>SEB</c:v>
                </c:pt>
                <c:pt idx="30">
                  <c:v>ROG</c:v>
                </c:pt>
                <c:pt idx="31">
                  <c:v>P01</c:v>
                </c:pt>
                <c:pt idx="32">
                  <c:v>KOP</c:v>
                </c:pt>
                <c:pt idx="33">
                  <c:v>P21</c:v>
                </c:pt>
                <c:pt idx="34">
                  <c:v>NID</c:v>
                </c:pt>
                <c:pt idx="35">
                  <c:v>NOR</c:v>
                </c:pt>
                <c:pt idx="36">
                  <c:v>ZEN</c:v>
                </c:pt>
                <c:pt idx="37">
                  <c:v>SIM</c:v>
                </c:pt>
                <c:pt idx="38">
                  <c:v>FRA</c:v>
                </c:pt>
                <c:pt idx="39">
                  <c:v>BON</c:v>
                </c:pt>
                <c:pt idx="40">
                  <c:v>PON</c:v>
                </c:pt>
                <c:pt idx="41">
                  <c:v>CLA</c:v>
                </c:pt>
                <c:pt idx="42">
                  <c:v>PAU</c:v>
                </c:pt>
                <c:pt idx="43">
                  <c:v>CAR</c:v>
                </c:pt>
                <c:pt idx="44">
                  <c:v>PTI</c:v>
                </c:pt>
                <c:pt idx="45">
                  <c:v>P10</c:v>
                </c:pt>
                <c:pt idx="46">
                  <c:v>MAU</c:v>
                </c:pt>
                <c:pt idx="47">
                  <c:v>CHE</c:v>
                </c:pt>
                <c:pt idx="48">
                  <c:v>P36</c:v>
                </c:pt>
                <c:pt idx="49">
                  <c:v>SAR</c:v>
                </c:pt>
                <c:pt idx="50">
                  <c:v>ROC</c:v>
                </c:pt>
                <c:pt idx="51">
                  <c:v>JAN</c:v>
                </c:pt>
                <c:pt idx="52">
                  <c:v>ROU</c:v>
                </c:pt>
                <c:pt idx="53">
                  <c:v>SOP</c:v>
                </c:pt>
                <c:pt idx="54">
                  <c:v>CHR</c:v>
                </c:pt>
                <c:pt idx="55">
                  <c:v>STA</c:v>
                </c:pt>
                <c:pt idx="56">
                  <c:v>ISA</c:v>
                </c:pt>
                <c:pt idx="57">
                  <c:v>P03</c:v>
                </c:pt>
                <c:pt idx="58">
                  <c:v>JMO</c:v>
                </c:pt>
                <c:pt idx="59">
                  <c:v>P08</c:v>
                </c:pt>
                <c:pt idx="60">
                  <c:v>P31</c:v>
                </c:pt>
                <c:pt idx="61">
                  <c:v>FER</c:v>
                </c:pt>
                <c:pt idx="62">
                  <c:v>P07</c:v>
                </c:pt>
                <c:pt idx="63">
                  <c:v>P19</c:v>
                </c:pt>
                <c:pt idx="64">
                  <c:v>LUC</c:v>
                </c:pt>
                <c:pt idx="65">
                  <c:v>MEY</c:v>
                </c:pt>
                <c:pt idx="66">
                  <c:v>AN1</c:v>
                </c:pt>
                <c:pt idx="67">
                  <c:v>DAR</c:v>
                </c:pt>
                <c:pt idx="68">
                  <c:v>GEO</c:v>
                </c:pt>
                <c:pt idx="69">
                  <c:v>DUM</c:v>
                </c:pt>
                <c:pt idx="70">
                  <c:v>BAC</c:v>
                </c:pt>
                <c:pt idx="71">
                  <c:v>HOD</c:v>
                </c:pt>
                <c:pt idx="72">
                  <c:v>CHA</c:v>
                </c:pt>
                <c:pt idx="73">
                  <c:v>JEA</c:v>
                </c:pt>
                <c:pt idx="74">
                  <c:v>WIL</c:v>
                </c:pt>
                <c:pt idx="75">
                  <c:v>BER</c:v>
                </c:pt>
                <c:pt idx="76">
                  <c:v>WEI</c:v>
                </c:pt>
                <c:pt idx="77">
                  <c:v>ANN</c:v>
                </c:pt>
              </c:strCache>
            </c:strRef>
          </c:cat>
          <c:val>
            <c:numRef>
              <c:f>'TOKEN PAR PERS_ONTO'!$P$2:$P$79</c:f>
              <c:numCache>
                <c:formatCode>General</c:formatCode>
                <c:ptCount val="78"/>
                <c:pt idx="0">
                  <c:v>1.5925821064552663</c:v>
                </c:pt>
                <c:pt idx="1">
                  <c:v>0.3513709616496164</c:v>
                </c:pt>
                <c:pt idx="2">
                  <c:v>0</c:v>
                </c:pt>
                <c:pt idx="3">
                  <c:v>0.48124005938502334</c:v>
                </c:pt>
                <c:pt idx="4">
                  <c:v>0.3987778787276593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0.45957595437329929</c:v>
                </c:pt>
                <c:pt idx="10">
                  <c:v>0.80070889427439762</c:v>
                </c:pt>
                <c:pt idx="11">
                  <c:v>1.3025935723520172</c:v>
                </c:pt>
                <c:pt idx="12">
                  <c:v>0</c:v>
                </c:pt>
                <c:pt idx="13">
                  <c:v>0</c:v>
                </c:pt>
                <c:pt idx="14">
                  <c:v>0.38512740656488181</c:v>
                </c:pt>
                <c:pt idx="15">
                  <c:v>0</c:v>
                </c:pt>
                <c:pt idx="16">
                  <c:v>0</c:v>
                </c:pt>
                <c:pt idx="17">
                  <c:v>1.6982926497894117</c:v>
                </c:pt>
                <c:pt idx="18">
                  <c:v>0.62338828154708348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0.27953717960962632</c:v>
                </c:pt>
                <c:pt idx="43">
                  <c:v>0</c:v>
                </c:pt>
                <c:pt idx="44">
                  <c:v>5.3023206490040478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1.2114237257336684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0.74684922981173174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64C-FB49-B4AE-D23207F911E2}"/>
            </c:ext>
          </c:extLst>
        </c:ser>
        <c:ser>
          <c:idx val="15"/>
          <c:order val="4"/>
          <c:tx>
            <c:strRef>
              <c:f>'TOKEN PAR PERS_ONTO'!$Q$1</c:f>
              <c:strCache>
                <c:ptCount val="1"/>
                <c:pt idx="0">
                  <c:v>sembler [seem] per 10 min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'TOKEN PAR PERS_ONTO'!$A$2:$A$79</c:f>
              <c:strCache>
                <c:ptCount val="78"/>
                <c:pt idx="0">
                  <c:v>CH1</c:v>
                </c:pt>
                <c:pt idx="1">
                  <c:v>DOL</c:v>
                </c:pt>
                <c:pt idx="2">
                  <c:v>SAN</c:v>
                </c:pt>
                <c:pt idx="3">
                  <c:v>NA1</c:v>
                </c:pt>
                <c:pt idx="4">
                  <c:v>OLR</c:v>
                </c:pt>
                <c:pt idx="5">
                  <c:v>YVA</c:v>
                </c:pt>
                <c:pt idx="6">
                  <c:v>P16</c:v>
                </c:pt>
                <c:pt idx="7">
                  <c:v>P52</c:v>
                </c:pt>
                <c:pt idx="8">
                  <c:v>BRI</c:v>
                </c:pt>
                <c:pt idx="9">
                  <c:v>BOR</c:v>
                </c:pt>
                <c:pt idx="10">
                  <c:v>FLO</c:v>
                </c:pt>
                <c:pt idx="11">
                  <c:v>LEV</c:v>
                </c:pt>
                <c:pt idx="12">
                  <c:v>AN2</c:v>
                </c:pt>
                <c:pt idx="13">
                  <c:v>BL1</c:v>
                </c:pt>
                <c:pt idx="14">
                  <c:v>LOR</c:v>
                </c:pt>
                <c:pt idx="15">
                  <c:v>RAP</c:v>
                </c:pt>
                <c:pt idx="16">
                  <c:v>BUG</c:v>
                </c:pt>
                <c:pt idx="17">
                  <c:v>PEL</c:v>
                </c:pt>
                <c:pt idx="18">
                  <c:v>ALE</c:v>
                </c:pt>
                <c:pt idx="19">
                  <c:v>DEL</c:v>
                </c:pt>
                <c:pt idx="20">
                  <c:v>SAL</c:v>
                </c:pt>
                <c:pt idx="21">
                  <c:v>MIC</c:v>
                </c:pt>
                <c:pt idx="22">
                  <c:v>LAT</c:v>
                </c:pt>
                <c:pt idx="23">
                  <c:v>FRI</c:v>
                </c:pt>
                <c:pt idx="24">
                  <c:v>ANT</c:v>
                </c:pt>
                <c:pt idx="25">
                  <c:v>P32</c:v>
                </c:pt>
                <c:pt idx="26">
                  <c:v>BEN</c:v>
                </c:pt>
                <c:pt idx="27">
                  <c:v>MAI</c:v>
                </c:pt>
                <c:pt idx="28">
                  <c:v>RSI</c:v>
                </c:pt>
                <c:pt idx="29">
                  <c:v>SEB</c:v>
                </c:pt>
                <c:pt idx="30">
                  <c:v>ROG</c:v>
                </c:pt>
                <c:pt idx="31">
                  <c:v>P01</c:v>
                </c:pt>
                <c:pt idx="32">
                  <c:v>KOP</c:v>
                </c:pt>
                <c:pt idx="33">
                  <c:v>P21</c:v>
                </c:pt>
                <c:pt idx="34">
                  <c:v>NID</c:v>
                </c:pt>
                <c:pt idx="35">
                  <c:v>NOR</c:v>
                </c:pt>
                <c:pt idx="36">
                  <c:v>ZEN</c:v>
                </c:pt>
                <c:pt idx="37">
                  <c:v>SIM</c:v>
                </c:pt>
                <c:pt idx="38">
                  <c:v>FRA</c:v>
                </c:pt>
                <c:pt idx="39">
                  <c:v>BON</c:v>
                </c:pt>
                <c:pt idx="40">
                  <c:v>PON</c:v>
                </c:pt>
                <c:pt idx="41">
                  <c:v>CLA</c:v>
                </c:pt>
                <c:pt idx="42">
                  <c:v>PAU</c:v>
                </c:pt>
                <c:pt idx="43">
                  <c:v>CAR</c:v>
                </c:pt>
                <c:pt idx="44">
                  <c:v>PTI</c:v>
                </c:pt>
                <c:pt idx="45">
                  <c:v>P10</c:v>
                </c:pt>
                <c:pt idx="46">
                  <c:v>MAU</c:v>
                </c:pt>
                <c:pt idx="47">
                  <c:v>CHE</c:v>
                </c:pt>
                <c:pt idx="48">
                  <c:v>P36</c:v>
                </c:pt>
                <c:pt idx="49">
                  <c:v>SAR</c:v>
                </c:pt>
                <c:pt idx="50">
                  <c:v>ROC</c:v>
                </c:pt>
                <c:pt idx="51">
                  <c:v>JAN</c:v>
                </c:pt>
                <c:pt idx="52">
                  <c:v>ROU</c:v>
                </c:pt>
                <c:pt idx="53">
                  <c:v>SOP</c:v>
                </c:pt>
                <c:pt idx="54">
                  <c:v>CHR</c:v>
                </c:pt>
                <c:pt idx="55">
                  <c:v>STA</c:v>
                </c:pt>
                <c:pt idx="56">
                  <c:v>ISA</c:v>
                </c:pt>
                <c:pt idx="57">
                  <c:v>P03</c:v>
                </c:pt>
                <c:pt idx="58">
                  <c:v>JMO</c:v>
                </c:pt>
                <c:pt idx="59">
                  <c:v>P08</c:v>
                </c:pt>
                <c:pt idx="60">
                  <c:v>P31</c:v>
                </c:pt>
                <c:pt idx="61">
                  <c:v>FER</c:v>
                </c:pt>
                <c:pt idx="62">
                  <c:v>P07</c:v>
                </c:pt>
                <c:pt idx="63">
                  <c:v>P19</c:v>
                </c:pt>
                <c:pt idx="64">
                  <c:v>LUC</c:v>
                </c:pt>
                <c:pt idx="65">
                  <c:v>MEY</c:v>
                </c:pt>
                <c:pt idx="66">
                  <c:v>AN1</c:v>
                </c:pt>
                <c:pt idx="67">
                  <c:v>DAR</c:v>
                </c:pt>
                <c:pt idx="68">
                  <c:v>GEO</c:v>
                </c:pt>
                <c:pt idx="69">
                  <c:v>DUM</c:v>
                </c:pt>
                <c:pt idx="70">
                  <c:v>BAC</c:v>
                </c:pt>
                <c:pt idx="71">
                  <c:v>HOD</c:v>
                </c:pt>
                <c:pt idx="72">
                  <c:v>CHA</c:v>
                </c:pt>
                <c:pt idx="73">
                  <c:v>JEA</c:v>
                </c:pt>
                <c:pt idx="74">
                  <c:v>WIL</c:v>
                </c:pt>
                <c:pt idx="75">
                  <c:v>BER</c:v>
                </c:pt>
                <c:pt idx="76">
                  <c:v>WEI</c:v>
                </c:pt>
                <c:pt idx="77">
                  <c:v>ANN</c:v>
                </c:pt>
              </c:strCache>
            </c:strRef>
          </c:cat>
          <c:val>
            <c:numRef>
              <c:f>'TOKEN PAR PERS_ONTO'!$Q$2:$Q$79</c:f>
              <c:numCache>
                <c:formatCode>General</c:formatCode>
                <c:ptCount val="78"/>
                <c:pt idx="0">
                  <c:v>4.2468856172140432</c:v>
                </c:pt>
                <c:pt idx="1">
                  <c:v>0</c:v>
                </c:pt>
                <c:pt idx="2">
                  <c:v>0</c:v>
                </c:pt>
                <c:pt idx="3">
                  <c:v>0.16041335312834112</c:v>
                </c:pt>
                <c:pt idx="4">
                  <c:v>0.79755575745531859</c:v>
                </c:pt>
                <c:pt idx="5">
                  <c:v>0.6627632366705426</c:v>
                </c:pt>
                <c:pt idx="6">
                  <c:v>20.93356732409698</c:v>
                </c:pt>
                <c:pt idx="7">
                  <c:v>6.0585008845411288</c:v>
                </c:pt>
                <c:pt idx="8">
                  <c:v>0.90588531039027798</c:v>
                </c:pt>
                <c:pt idx="9">
                  <c:v>0</c:v>
                </c:pt>
                <c:pt idx="10">
                  <c:v>0.80070889427439762</c:v>
                </c:pt>
                <c:pt idx="11">
                  <c:v>1.9538903585280256</c:v>
                </c:pt>
                <c:pt idx="12">
                  <c:v>3.2196844351510836</c:v>
                </c:pt>
                <c:pt idx="13">
                  <c:v>1.3886403051305631</c:v>
                </c:pt>
                <c:pt idx="14">
                  <c:v>0.77025481312976363</c:v>
                </c:pt>
                <c:pt idx="15">
                  <c:v>0.29779172545985244</c:v>
                </c:pt>
                <c:pt idx="16">
                  <c:v>0</c:v>
                </c:pt>
                <c:pt idx="17">
                  <c:v>0.84914632489470587</c:v>
                </c:pt>
                <c:pt idx="18">
                  <c:v>0</c:v>
                </c:pt>
                <c:pt idx="19">
                  <c:v>1.1814116688030527</c:v>
                </c:pt>
                <c:pt idx="20">
                  <c:v>1.9948638904367555</c:v>
                </c:pt>
                <c:pt idx="21">
                  <c:v>0.39762300964832237</c:v>
                </c:pt>
                <c:pt idx="22">
                  <c:v>2.3989636477041918</c:v>
                </c:pt>
                <c:pt idx="23">
                  <c:v>3.3348896151537386</c:v>
                </c:pt>
                <c:pt idx="24">
                  <c:v>0</c:v>
                </c:pt>
                <c:pt idx="25">
                  <c:v>0</c:v>
                </c:pt>
                <c:pt idx="26">
                  <c:v>2.7225906963025706</c:v>
                </c:pt>
                <c:pt idx="27">
                  <c:v>0.79585413054925869</c:v>
                </c:pt>
                <c:pt idx="28">
                  <c:v>0</c:v>
                </c:pt>
                <c:pt idx="29">
                  <c:v>1.010674406186675</c:v>
                </c:pt>
                <c:pt idx="30">
                  <c:v>0.34308308757624661</c:v>
                </c:pt>
                <c:pt idx="31">
                  <c:v>0</c:v>
                </c:pt>
                <c:pt idx="32">
                  <c:v>13.344156927285464</c:v>
                </c:pt>
                <c:pt idx="33">
                  <c:v>10.637229120005671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0.68465873755775375</c:v>
                </c:pt>
                <c:pt idx="39">
                  <c:v>0</c:v>
                </c:pt>
                <c:pt idx="40">
                  <c:v>0</c:v>
                </c:pt>
                <c:pt idx="41">
                  <c:v>0.85367267770797417</c:v>
                </c:pt>
                <c:pt idx="42">
                  <c:v>0</c:v>
                </c:pt>
                <c:pt idx="43">
                  <c:v>0.49108818184013203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0.69682931049901098</c:v>
                </c:pt>
                <c:pt idx="52">
                  <c:v>1.2838453736631961</c:v>
                </c:pt>
                <c:pt idx="53">
                  <c:v>0.36093026165639314</c:v>
                </c:pt>
                <c:pt idx="54">
                  <c:v>0.33522287292706554</c:v>
                </c:pt>
                <c:pt idx="55">
                  <c:v>0.20433740191804708</c:v>
                </c:pt>
                <c:pt idx="56">
                  <c:v>0</c:v>
                </c:pt>
                <c:pt idx="57">
                  <c:v>12.167670499482874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1.5441948568016637</c:v>
                </c:pt>
                <c:pt idx="64">
                  <c:v>0</c:v>
                </c:pt>
                <c:pt idx="65">
                  <c:v>0</c:v>
                </c:pt>
                <c:pt idx="66">
                  <c:v>1.1758042991324524</c:v>
                </c:pt>
                <c:pt idx="67">
                  <c:v>0</c:v>
                </c:pt>
                <c:pt idx="68">
                  <c:v>0</c:v>
                </c:pt>
                <c:pt idx="69">
                  <c:v>0.96570461027380949</c:v>
                </c:pt>
                <c:pt idx="70">
                  <c:v>0.890805109658109</c:v>
                </c:pt>
                <c:pt idx="71">
                  <c:v>0</c:v>
                </c:pt>
                <c:pt idx="72">
                  <c:v>0.77278757357581696</c:v>
                </c:pt>
                <c:pt idx="73">
                  <c:v>0</c:v>
                </c:pt>
                <c:pt idx="74">
                  <c:v>0</c:v>
                </c:pt>
                <c:pt idx="75">
                  <c:v>0.69953713959263619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64C-FB49-B4AE-D23207F911E2}"/>
            </c:ext>
          </c:extLst>
        </c:ser>
        <c:ser>
          <c:idx val="16"/>
          <c:order val="5"/>
          <c:tx>
            <c:strRef>
              <c:f>'TOKEN PAR PERS_ONTO'!$R$1</c:f>
              <c:strCache>
                <c:ptCount val="1"/>
                <c:pt idx="0">
                  <c:v>apparemment [apparently] per 10 min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'TOKEN PAR PERS_ONTO'!$A$2:$A$79</c:f>
              <c:strCache>
                <c:ptCount val="78"/>
                <c:pt idx="0">
                  <c:v>CH1</c:v>
                </c:pt>
                <c:pt idx="1">
                  <c:v>DOL</c:v>
                </c:pt>
                <c:pt idx="2">
                  <c:v>SAN</c:v>
                </c:pt>
                <c:pt idx="3">
                  <c:v>NA1</c:v>
                </c:pt>
                <c:pt idx="4">
                  <c:v>OLR</c:v>
                </c:pt>
                <c:pt idx="5">
                  <c:v>YVA</c:v>
                </c:pt>
                <c:pt idx="6">
                  <c:v>P16</c:v>
                </c:pt>
                <c:pt idx="7">
                  <c:v>P52</c:v>
                </c:pt>
                <c:pt idx="8">
                  <c:v>BRI</c:v>
                </c:pt>
                <c:pt idx="9">
                  <c:v>BOR</c:v>
                </c:pt>
                <c:pt idx="10">
                  <c:v>FLO</c:v>
                </c:pt>
                <c:pt idx="11">
                  <c:v>LEV</c:v>
                </c:pt>
                <c:pt idx="12">
                  <c:v>AN2</c:v>
                </c:pt>
                <c:pt idx="13">
                  <c:v>BL1</c:v>
                </c:pt>
                <c:pt idx="14">
                  <c:v>LOR</c:v>
                </c:pt>
                <c:pt idx="15">
                  <c:v>RAP</c:v>
                </c:pt>
                <c:pt idx="16">
                  <c:v>BUG</c:v>
                </c:pt>
                <c:pt idx="17">
                  <c:v>PEL</c:v>
                </c:pt>
                <c:pt idx="18">
                  <c:v>ALE</c:v>
                </c:pt>
                <c:pt idx="19">
                  <c:v>DEL</c:v>
                </c:pt>
                <c:pt idx="20">
                  <c:v>SAL</c:v>
                </c:pt>
                <c:pt idx="21">
                  <c:v>MIC</c:v>
                </c:pt>
                <c:pt idx="22">
                  <c:v>LAT</c:v>
                </c:pt>
                <c:pt idx="23">
                  <c:v>FRI</c:v>
                </c:pt>
                <c:pt idx="24">
                  <c:v>ANT</c:v>
                </c:pt>
                <c:pt idx="25">
                  <c:v>P32</c:v>
                </c:pt>
                <c:pt idx="26">
                  <c:v>BEN</c:v>
                </c:pt>
                <c:pt idx="27">
                  <c:v>MAI</c:v>
                </c:pt>
                <c:pt idx="28">
                  <c:v>RSI</c:v>
                </c:pt>
                <c:pt idx="29">
                  <c:v>SEB</c:v>
                </c:pt>
                <c:pt idx="30">
                  <c:v>ROG</c:v>
                </c:pt>
                <c:pt idx="31">
                  <c:v>P01</c:v>
                </c:pt>
                <c:pt idx="32">
                  <c:v>KOP</c:v>
                </c:pt>
                <c:pt idx="33">
                  <c:v>P21</c:v>
                </c:pt>
                <c:pt idx="34">
                  <c:v>NID</c:v>
                </c:pt>
                <c:pt idx="35">
                  <c:v>NOR</c:v>
                </c:pt>
                <c:pt idx="36">
                  <c:v>ZEN</c:v>
                </c:pt>
                <c:pt idx="37">
                  <c:v>SIM</c:v>
                </c:pt>
                <c:pt idx="38">
                  <c:v>FRA</c:v>
                </c:pt>
                <c:pt idx="39">
                  <c:v>BON</c:v>
                </c:pt>
                <c:pt idx="40">
                  <c:v>PON</c:v>
                </c:pt>
                <c:pt idx="41">
                  <c:v>CLA</c:v>
                </c:pt>
                <c:pt idx="42">
                  <c:v>PAU</c:v>
                </c:pt>
                <c:pt idx="43">
                  <c:v>CAR</c:v>
                </c:pt>
                <c:pt idx="44">
                  <c:v>PTI</c:v>
                </c:pt>
                <c:pt idx="45">
                  <c:v>P10</c:v>
                </c:pt>
                <c:pt idx="46">
                  <c:v>MAU</c:v>
                </c:pt>
                <c:pt idx="47">
                  <c:v>CHE</c:v>
                </c:pt>
                <c:pt idx="48">
                  <c:v>P36</c:v>
                </c:pt>
                <c:pt idx="49">
                  <c:v>SAR</c:v>
                </c:pt>
                <c:pt idx="50">
                  <c:v>ROC</c:v>
                </c:pt>
                <c:pt idx="51">
                  <c:v>JAN</c:v>
                </c:pt>
                <c:pt idx="52">
                  <c:v>ROU</c:v>
                </c:pt>
                <c:pt idx="53">
                  <c:v>SOP</c:v>
                </c:pt>
                <c:pt idx="54">
                  <c:v>CHR</c:v>
                </c:pt>
                <c:pt idx="55">
                  <c:v>STA</c:v>
                </c:pt>
                <c:pt idx="56">
                  <c:v>ISA</c:v>
                </c:pt>
                <c:pt idx="57">
                  <c:v>P03</c:v>
                </c:pt>
                <c:pt idx="58">
                  <c:v>JMO</c:v>
                </c:pt>
                <c:pt idx="59">
                  <c:v>P08</c:v>
                </c:pt>
                <c:pt idx="60">
                  <c:v>P31</c:v>
                </c:pt>
                <c:pt idx="61">
                  <c:v>FER</c:v>
                </c:pt>
                <c:pt idx="62">
                  <c:v>P07</c:v>
                </c:pt>
                <c:pt idx="63">
                  <c:v>P19</c:v>
                </c:pt>
                <c:pt idx="64">
                  <c:v>LUC</c:v>
                </c:pt>
                <c:pt idx="65">
                  <c:v>MEY</c:v>
                </c:pt>
                <c:pt idx="66">
                  <c:v>AN1</c:v>
                </c:pt>
                <c:pt idx="67">
                  <c:v>DAR</c:v>
                </c:pt>
                <c:pt idx="68">
                  <c:v>GEO</c:v>
                </c:pt>
                <c:pt idx="69">
                  <c:v>DUM</c:v>
                </c:pt>
                <c:pt idx="70">
                  <c:v>BAC</c:v>
                </c:pt>
                <c:pt idx="71">
                  <c:v>HOD</c:v>
                </c:pt>
                <c:pt idx="72">
                  <c:v>CHA</c:v>
                </c:pt>
                <c:pt idx="73">
                  <c:v>JEA</c:v>
                </c:pt>
                <c:pt idx="74">
                  <c:v>WIL</c:v>
                </c:pt>
                <c:pt idx="75">
                  <c:v>BER</c:v>
                </c:pt>
                <c:pt idx="76">
                  <c:v>WEI</c:v>
                </c:pt>
                <c:pt idx="77">
                  <c:v>ANN</c:v>
                </c:pt>
              </c:strCache>
            </c:strRef>
          </c:cat>
          <c:val>
            <c:numRef>
              <c:f>'TOKEN PAR PERS_ONTO'!$R$2:$R$79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1.1963336361829779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0.45294265519513899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0.29779172545985244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1.6674448075768693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0.50533720309333752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2.1038507481527025</c:v>
                </c:pt>
                <c:pt idx="38">
                  <c:v>0.68465873755775375</c:v>
                </c:pt>
                <c:pt idx="39">
                  <c:v>0</c:v>
                </c:pt>
                <c:pt idx="40">
                  <c:v>0.57832161428839945</c:v>
                </c:pt>
                <c:pt idx="41">
                  <c:v>0</c:v>
                </c:pt>
                <c:pt idx="42">
                  <c:v>0.27953717960962632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2.916699074434161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0.36093026165639314</c:v>
                </c:pt>
                <c:pt idx="54">
                  <c:v>0</c:v>
                </c:pt>
                <c:pt idx="55">
                  <c:v>0.20433740191804708</c:v>
                </c:pt>
                <c:pt idx="56">
                  <c:v>33.411293017039768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64C-FB49-B4AE-D23207F911E2}"/>
            </c:ext>
          </c:extLst>
        </c:ser>
        <c:ser>
          <c:idx val="17"/>
          <c:order val="6"/>
          <c:tx>
            <c:strRef>
              <c:f>'TOKEN PAR PERS_ONTO'!$S$1</c:f>
              <c:strCache>
                <c:ptCount val="1"/>
                <c:pt idx="0">
                  <c:v>évidemment [obviously] per 10 min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'TOKEN PAR PERS_ONTO'!$A$2:$A$79</c:f>
              <c:strCache>
                <c:ptCount val="78"/>
                <c:pt idx="0">
                  <c:v>CH1</c:v>
                </c:pt>
                <c:pt idx="1">
                  <c:v>DOL</c:v>
                </c:pt>
                <c:pt idx="2">
                  <c:v>SAN</c:v>
                </c:pt>
                <c:pt idx="3">
                  <c:v>NA1</c:v>
                </c:pt>
                <c:pt idx="4">
                  <c:v>OLR</c:v>
                </c:pt>
                <c:pt idx="5">
                  <c:v>YVA</c:v>
                </c:pt>
                <c:pt idx="6">
                  <c:v>P16</c:v>
                </c:pt>
                <c:pt idx="7">
                  <c:v>P52</c:v>
                </c:pt>
                <c:pt idx="8">
                  <c:v>BRI</c:v>
                </c:pt>
                <c:pt idx="9">
                  <c:v>BOR</c:v>
                </c:pt>
                <c:pt idx="10">
                  <c:v>FLO</c:v>
                </c:pt>
                <c:pt idx="11">
                  <c:v>LEV</c:v>
                </c:pt>
                <c:pt idx="12">
                  <c:v>AN2</c:v>
                </c:pt>
                <c:pt idx="13">
                  <c:v>BL1</c:v>
                </c:pt>
                <c:pt idx="14">
                  <c:v>LOR</c:v>
                </c:pt>
                <c:pt idx="15">
                  <c:v>RAP</c:v>
                </c:pt>
                <c:pt idx="16">
                  <c:v>BUG</c:v>
                </c:pt>
                <c:pt idx="17">
                  <c:v>PEL</c:v>
                </c:pt>
                <c:pt idx="18">
                  <c:v>ALE</c:v>
                </c:pt>
                <c:pt idx="19">
                  <c:v>DEL</c:v>
                </c:pt>
                <c:pt idx="20">
                  <c:v>SAL</c:v>
                </c:pt>
                <c:pt idx="21">
                  <c:v>MIC</c:v>
                </c:pt>
                <c:pt idx="22">
                  <c:v>LAT</c:v>
                </c:pt>
                <c:pt idx="23">
                  <c:v>FRI</c:v>
                </c:pt>
                <c:pt idx="24">
                  <c:v>ANT</c:v>
                </c:pt>
                <c:pt idx="25">
                  <c:v>P32</c:v>
                </c:pt>
                <c:pt idx="26">
                  <c:v>BEN</c:v>
                </c:pt>
                <c:pt idx="27">
                  <c:v>MAI</c:v>
                </c:pt>
                <c:pt idx="28">
                  <c:v>RSI</c:v>
                </c:pt>
                <c:pt idx="29">
                  <c:v>SEB</c:v>
                </c:pt>
                <c:pt idx="30">
                  <c:v>ROG</c:v>
                </c:pt>
                <c:pt idx="31">
                  <c:v>P01</c:v>
                </c:pt>
                <c:pt idx="32">
                  <c:v>KOP</c:v>
                </c:pt>
                <c:pt idx="33">
                  <c:v>P21</c:v>
                </c:pt>
                <c:pt idx="34">
                  <c:v>NID</c:v>
                </c:pt>
                <c:pt idx="35">
                  <c:v>NOR</c:v>
                </c:pt>
                <c:pt idx="36">
                  <c:v>ZEN</c:v>
                </c:pt>
                <c:pt idx="37">
                  <c:v>SIM</c:v>
                </c:pt>
                <c:pt idx="38">
                  <c:v>FRA</c:v>
                </c:pt>
                <c:pt idx="39">
                  <c:v>BON</c:v>
                </c:pt>
                <c:pt idx="40">
                  <c:v>PON</c:v>
                </c:pt>
                <c:pt idx="41">
                  <c:v>CLA</c:v>
                </c:pt>
                <c:pt idx="42">
                  <c:v>PAU</c:v>
                </c:pt>
                <c:pt idx="43">
                  <c:v>CAR</c:v>
                </c:pt>
                <c:pt idx="44">
                  <c:v>PTI</c:v>
                </c:pt>
                <c:pt idx="45">
                  <c:v>P10</c:v>
                </c:pt>
                <c:pt idx="46">
                  <c:v>MAU</c:v>
                </c:pt>
                <c:pt idx="47">
                  <c:v>CHE</c:v>
                </c:pt>
                <c:pt idx="48">
                  <c:v>P36</c:v>
                </c:pt>
                <c:pt idx="49">
                  <c:v>SAR</c:v>
                </c:pt>
                <c:pt idx="50">
                  <c:v>ROC</c:v>
                </c:pt>
                <c:pt idx="51">
                  <c:v>JAN</c:v>
                </c:pt>
                <c:pt idx="52">
                  <c:v>ROU</c:v>
                </c:pt>
                <c:pt idx="53">
                  <c:v>SOP</c:v>
                </c:pt>
                <c:pt idx="54">
                  <c:v>CHR</c:v>
                </c:pt>
                <c:pt idx="55">
                  <c:v>STA</c:v>
                </c:pt>
                <c:pt idx="56">
                  <c:v>ISA</c:v>
                </c:pt>
                <c:pt idx="57">
                  <c:v>P03</c:v>
                </c:pt>
                <c:pt idx="58">
                  <c:v>JMO</c:v>
                </c:pt>
                <c:pt idx="59">
                  <c:v>P08</c:v>
                </c:pt>
                <c:pt idx="60">
                  <c:v>P31</c:v>
                </c:pt>
                <c:pt idx="61">
                  <c:v>FER</c:v>
                </c:pt>
                <c:pt idx="62">
                  <c:v>P07</c:v>
                </c:pt>
                <c:pt idx="63">
                  <c:v>P19</c:v>
                </c:pt>
                <c:pt idx="64">
                  <c:v>LUC</c:v>
                </c:pt>
                <c:pt idx="65">
                  <c:v>MEY</c:v>
                </c:pt>
                <c:pt idx="66">
                  <c:v>AN1</c:v>
                </c:pt>
                <c:pt idx="67">
                  <c:v>DAR</c:v>
                </c:pt>
                <c:pt idx="68">
                  <c:v>GEO</c:v>
                </c:pt>
                <c:pt idx="69">
                  <c:v>DUM</c:v>
                </c:pt>
                <c:pt idx="70">
                  <c:v>BAC</c:v>
                </c:pt>
                <c:pt idx="71">
                  <c:v>HOD</c:v>
                </c:pt>
                <c:pt idx="72">
                  <c:v>CHA</c:v>
                </c:pt>
                <c:pt idx="73">
                  <c:v>JEA</c:v>
                </c:pt>
                <c:pt idx="74">
                  <c:v>WIL</c:v>
                </c:pt>
                <c:pt idx="75">
                  <c:v>BER</c:v>
                </c:pt>
                <c:pt idx="76">
                  <c:v>WEI</c:v>
                </c:pt>
                <c:pt idx="77">
                  <c:v>ANN</c:v>
                </c:pt>
              </c:strCache>
            </c:strRef>
          </c:cat>
          <c:val>
            <c:numRef>
              <c:f>'TOKEN PAR PERS_ONTO'!$S$2:$S$79</c:f>
              <c:numCache>
                <c:formatCode>General</c:formatCode>
                <c:ptCount val="78"/>
                <c:pt idx="0">
                  <c:v>0</c:v>
                </c:pt>
                <c:pt idx="1">
                  <c:v>6.3246773096930955</c:v>
                </c:pt>
                <c:pt idx="2">
                  <c:v>4.8293236532223665</c:v>
                </c:pt>
                <c:pt idx="3">
                  <c:v>1.283306825026729</c:v>
                </c:pt>
                <c:pt idx="4">
                  <c:v>0</c:v>
                </c:pt>
                <c:pt idx="5">
                  <c:v>1.1046053944509042</c:v>
                </c:pt>
                <c:pt idx="6">
                  <c:v>0</c:v>
                </c:pt>
                <c:pt idx="7">
                  <c:v>2.4234003538164517</c:v>
                </c:pt>
                <c:pt idx="8">
                  <c:v>0.90588531039027798</c:v>
                </c:pt>
                <c:pt idx="9">
                  <c:v>0</c:v>
                </c:pt>
                <c:pt idx="10">
                  <c:v>0</c:v>
                </c:pt>
                <c:pt idx="11">
                  <c:v>1.3025935723520172</c:v>
                </c:pt>
                <c:pt idx="12">
                  <c:v>3.2196844351510836</c:v>
                </c:pt>
                <c:pt idx="13">
                  <c:v>1.3886403051305631</c:v>
                </c:pt>
                <c:pt idx="14">
                  <c:v>0.77025481312976363</c:v>
                </c:pt>
                <c:pt idx="15">
                  <c:v>0.29779172545985244</c:v>
                </c:pt>
                <c:pt idx="16">
                  <c:v>4.8159349656142245</c:v>
                </c:pt>
                <c:pt idx="17">
                  <c:v>1.6982926497894117</c:v>
                </c:pt>
                <c:pt idx="18">
                  <c:v>2.4935531261883339</c:v>
                </c:pt>
                <c:pt idx="19">
                  <c:v>1.1814116688030527</c:v>
                </c:pt>
                <c:pt idx="20">
                  <c:v>0</c:v>
                </c:pt>
                <c:pt idx="21">
                  <c:v>0</c:v>
                </c:pt>
                <c:pt idx="22">
                  <c:v>7.1968909431125754</c:v>
                </c:pt>
                <c:pt idx="23">
                  <c:v>0</c:v>
                </c:pt>
                <c:pt idx="24">
                  <c:v>5.1711098710023551</c:v>
                </c:pt>
                <c:pt idx="25">
                  <c:v>4.9419628240846558</c:v>
                </c:pt>
                <c:pt idx="26">
                  <c:v>0.90753023210085682</c:v>
                </c:pt>
                <c:pt idx="27">
                  <c:v>0.79585413054925869</c:v>
                </c:pt>
                <c:pt idx="28">
                  <c:v>3.1404199526581689</c:v>
                </c:pt>
                <c:pt idx="29">
                  <c:v>0.50533720309333752</c:v>
                </c:pt>
                <c:pt idx="30">
                  <c:v>0</c:v>
                </c:pt>
                <c:pt idx="31">
                  <c:v>6.9279264716070488</c:v>
                </c:pt>
                <c:pt idx="32">
                  <c:v>0</c:v>
                </c:pt>
                <c:pt idx="33">
                  <c:v>0</c:v>
                </c:pt>
                <c:pt idx="34">
                  <c:v>7.0497279979947445</c:v>
                </c:pt>
                <c:pt idx="35">
                  <c:v>2.0891764988535644</c:v>
                </c:pt>
                <c:pt idx="36">
                  <c:v>0.86888773680811193</c:v>
                </c:pt>
                <c:pt idx="37">
                  <c:v>0</c:v>
                </c:pt>
                <c:pt idx="38">
                  <c:v>0</c:v>
                </c:pt>
                <c:pt idx="39">
                  <c:v>1.8474517994693707</c:v>
                </c:pt>
                <c:pt idx="40">
                  <c:v>0.57832161428839945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3.6470838525362432</c:v>
                </c:pt>
                <c:pt idx="48">
                  <c:v>0</c:v>
                </c:pt>
                <c:pt idx="49">
                  <c:v>0</c:v>
                </c:pt>
                <c:pt idx="50">
                  <c:v>4.3050408440750081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7.4646362855969839</c:v>
                </c:pt>
                <c:pt idx="59">
                  <c:v>0</c:v>
                </c:pt>
                <c:pt idx="60">
                  <c:v>0</c:v>
                </c:pt>
                <c:pt idx="61">
                  <c:v>3.2891490971285724</c:v>
                </c:pt>
                <c:pt idx="62">
                  <c:v>0</c:v>
                </c:pt>
                <c:pt idx="63">
                  <c:v>0</c:v>
                </c:pt>
                <c:pt idx="64">
                  <c:v>1.2604247631451799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1.1194217813358807</c:v>
                </c:pt>
                <c:pt idx="69">
                  <c:v>0</c:v>
                </c:pt>
                <c:pt idx="70">
                  <c:v>0</c:v>
                </c:pt>
                <c:pt idx="71">
                  <c:v>0.78921096003567237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0.66225604143073791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64C-FB49-B4AE-D23207F911E2}"/>
            </c:ext>
          </c:extLst>
        </c:ser>
        <c:ser>
          <c:idx val="18"/>
          <c:order val="7"/>
          <c:tx>
            <c:strRef>
              <c:f>'TOKEN PAR PERS_ONTO'!$T$1</c:f>
              <c:strCache>
                <c:ptCount val="1"/>
                <c:pt idx="0">
                  <c:v>manifestement [clearly] per 10 min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'TOKEN PAR PERS_ONTO'!$A$2:$A$79</c:f>
              <c:strCache>
                <c:ptCount val="78"/>
                <c:pt idx="0">
                  <c:v>CH1</c:v>
                </c:pt>
                <c:pt idx="1">
                  <c:v>DOL</c:v>
                </c:pt>
                <c:pt idx="2">
                  <c:v>SAN</c:v>
                </c:pt>
                <c:pt idx="3">
                  <c:v>NA1</c:v>
                </c:pt>
                <c:pt idx="4">
                  <c:v>OLR</c:v>
                </c:pt>
                <c:pt idx="5">
                  <c:v>YVA</c:v>
                </c:pt>
                <c:pt idx="6">
                  <c:v>P16</c:v>
                </c:pt>
                <c:pt idx="7">
                  <c:v>P52</c:v>
                </c:pt>
                <c:pt idx="8">
                  <c:v>BRI</c:v>
                </c:pt>
                <c:pt idx="9">
                  <c:v>BOR</c:v>
                </c:pt>
                <c:pt idx="10">
                  <c:v>FLO</c:v>
                </c:pt>
                <c:pt idx="11">
                  <c:v>LEV</c:v>
                </c:pt>
                <c:pt idx="12">
                  <c:v>AN2</c:v>
                </c:pt>
                <c:pt idx="13">
                  <c:v>BL1</c:v>
                </c:pt>
                <c:pt idx="14">
                  <c:v>LOR</c:v>
                </c:pt>
                <c:pt idx="15">
                  <c:v>RAP</c:v>
                </c:pt>
                <c:pt idx="16">
                  <c:v>BUG</c:v>
                </c:pt>
                <c:pt idx="17">
                  <c:v>PEL</c:v>
                </c:pt>
                <c:pt idx="18">
                  <c:v>ALE</c:v>
                </c:pt>
                <c:pt idx="19">
                  <c:v>DEL</c:v>
                </c:pt>
                <c:pt idx="20">
                  <c:v>SAL</c:v>
                </c:pt>
                <c:pt idx="21">
                  <c:v>MIC</c:v>
                </c:pt>
                <c:pt idx="22">
                  <c:v>LAT</c:v>
                </c:pt>
                <c:pt idx="23">
                  <c:v>FRI</c:v>
                </c:pt>
                <c:pt idx="24">
                  <c:v>ANT</c:v>
                </c:pt>
                <c:pt idx="25">
                  <c:v>P32</c:v>
                </c:pt>
                <c:pt idx="26">
                  <c:v>BEN</c:v>
                </c:pt>
                <c:pt idx="27">
                  <c:v>MAI</c:v>
                </c:pt>
                <c:pt idx="28">
                  <c:v>RSI</c:v>
                </c:pt>
                <c:pt idx="29">
                  <c:v>SEB</c:v>
                </c:pt>
                <c:pt idx="30">
                  <c:v>ROG</c:v>
                </c:pt>
                <c:pt idx="31">
                  <c:v>P01</c:v>
                </c:pt>
                <c:pt idx="32">
                  <c:v>KOP</c:v>
                </c:pt>
                <c:pt idx="33">
                  <c:v>P21</c:v>
                </c:pt>
                <c:pt idx="34">
                  <c:v>NID</c:v>
                </c:pt>
                <c:pt idx="35">
                  <c:v>NOR</c:v>
                </c:pt>
                <c:pt idx="36">
                  <c:v>ZEN</c:v>
                </c:pt>
                <c:pt idx="37">
                  <c:v>SIM</c:v>
                </c:pt>
                <c:pt idx="38">
                  <c:v>FRA</c:v>
                </c:pt>
                <c:pt idx="39">
                  <c:v>BON</c:v>
                </c:pt>
                <c:pt idx="40">
                  <c:v>PON</c:v>
                </c:pt>
                <c:pt idx="41">
                  <c:v>CLA</c:v>
                </c:pt>
                <c:pt idx="42">
                  <c:v>PAU</c:v>
                </c:pt>
                <c:pt idx="43">
                  <c:v>CAR</c:v>
                </c:pt>
                <c:pt idx="44">
                  <c:v>PTI</c:v>
                </c:pt>
                <c:pt idx="45">
                  <c:v>P10</c:v>
                </c:pt>
                <c:pt idx="46">
                  <c:v>MAU</c:v>
                </c:pt>
                <c:pt idx="47">
                  <c:v>CHE</c:v>
                </c:pt>
                <c:pt idx="48">
                  <c:v>P36</c:v>
                </c:pt>
                <c:pt idx="49">
                  <c:v>SAR</c:v>
                </c:pt>
                <c:pt idx="50">
                  <c:v>ROC</c:v>
                </c:pt>
                <c:pt idx="51">
                  <c:v>JAN</c:v>
                </c:pt>
                <c:pt idx="52">
                  <c:v>ROU</c:v>
                </c:pt>
                <c:pt idx="53">
                  <c:v>SOP</c:v>
                </c:pt>
                <c:pt idx="54">
                  <c:v>CHR</c:v>
                </c:pt>
                <c:pt idx="55">
                  <c:v>STA</c:v>
                </c:pt>
                <c:pt idx="56">
                  <c:v>ISA</c:v>
                </c:pt>
                <c:pt idx="57">
                  <c:v>P03</c:v>
                </c:pt>
                <c:pt idx="58">
                  <c:v>JMO</c:v>
                </c:pt>
                <c:pt idx="59">
                  <c:v>P08</c:v>
                </c:pt>
                <c:pt idx="60">
                  <c:v>P31</c:v>
                </c:pt>
                <c:pt idx="61">
                  <c:v>FER</c:v>
                </c:pt>
                <c:pt idx="62">
                  <c:v>P07</c:v>
                </c:pt>
                <c:pt idx="63">
                  <c:v>P19</c:v>
                </c:pt>
                <c:pt idx="64">
                  <c:v>LUC</c:v>
                </c:pt>
                <c:pt idx="65">
                  <c:v>MEY</c:v>
                </c:pt>
                <c:pt idx="66">
                  <c:v>AN1</c:v>
                </c:pt>
                <c:pt idx="67">
                  <c:v>DAR</c:v>
                </c:pt>
                <c:pt idx="68">
                  <c:v>GEO</c:v>
                </c:pt>
                <c:pt idx="69">
                  <c:v>DUM</c:v>
                </c:pt>
                <c:pt idx="70">
                  <c:v>BAC</c:v>
                </c:pt>
                <c:pt idx="71">
                  <c:v>HOD</c:v>
                </c:pt>
                <c:pt idx="72">
                  <c:v>CHA</c:v>
                </c:pt>
                <c:pt idx="73">
                  <c:v>JEA</c:v>
                </c:pt>
                <c:pt idx="74">
                  <c:v>WIL</c:v>
                </c:pt>
                <c:pt idx="75">
                  <c:v>BER</c:v>
                </c:pt>
                <c:pt idx="76">
                  <c:v>WEI</c:v>
                </c:pt>
                <c:pt idx="77">
                  <c:v>ANN</c:v>
                </c:pt>
              </c:strCache>
            </c:strRef>
          </c:cat>
          <c:val>
            <c:numRef>
              <c:f>'TOKEN PAR PERS_ONTO'!$T$2:$T$79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0.59070583440152635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1.5917082610985174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0.69682931049901098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5.2832714016519029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64C-FB49-B4AE-D23207F911E2}"/>
            </c:ext>
          </c:extLst>
        </c:ser>
        <c:ser>
          <c:idx val="19"/>
          <c:order val="8"/>
          <c:tx>
            <c:strRef>
              <c:f>'TOKEN PAR PERS_ONTO'!$U$1</c:f>
              <c:strCache>
                <c:ptCount val="1"/>
                <c:pt idx="0">
                  <c:v>visiblement [visibly] per 10 min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'TOKEN PAR PERS_ONTO'!$A$2:$A$79</c:f>
              <c:strCache>
                <c:ptCount val="78"/>
                <c:pt idx="0">
                  <c:v>CH1</c:v>
                </c:pt>
                <c:pt idx="1">
                  <c:v>DOL</c:v>
                </c:pt>
                <c:pt idx="2">
                  <c:v>SAN</c:v>
                </c:pt>
                <c:pt idx="3">
                  <c:v>NA1</c:v>
                </c:pt>
                <c:pt idx="4">
                  <c:v>OLR</c:v>
                </c:pt>
                <c:pt idx="5">
                  <c:v>YVA</c:v>
                </c:pt>
                <c:pt idx="6">
                  <c:v>P16</c:v>
                </c:pt>
                <c:pt idx="7">
                  <c:v>P52</c:v>
                </c:pt>
                <c:pt idx="8">
                  <c:v>BRI</c:v>
                </c:pt>
                <c:pt idx="9">
                  <c:v>BOR</c:v>
                </c:pt>
                <c:pt idx="10">
                  <c:v>FLO</c:v>
                </c:pt>
                <c:pt idx="11">
                  <c:v>LEV</c:v>
                </c:pt>
                <c:pt idx="12">
                  <c:v>AN2</c:v>
                </c:pt>
                <c:pt idx="13">
                  <c:v>BL1</c:v>
                </c:pt>
                <c:pt idx="14">
                  <c:v>LOR</c:v>
                </c:pt>
                <c:pt idx="15">
                  <c:v>RAP</c:v>
                </c:pt>
                <c:pt idx="16">
                  <c:v>BUG</c:v>
                </c:pt>
                <c:pt idx="17">
                  <c:v>PEL</c:v>
                </c:pt>
                <c:pt idx="18">
                  <c:v>ALE</c:v>
                </c:pt>
                <c:pt idx="19">
                  <c:v>DEL</c:v>
                </c:pt>
                <c:pt idx="20">
                  <c:v>SAL</c:v>
                </c:pt>
                <c:pt idx="21">
                  <c:v>MIC</c:v>
                </c:pt>
                <c:pt idx="22">
                  <c:v>LAT</c:v>
                </c:pt>
                <c:pt idx="23">
                  <c:v>FRI</c:v>
                </c:pt>
                <c:pt idx="24">
                  <c:v>ANT</c:v>
                </c:pt>
                <c:pt idx="25">
                  <c:v>P32</c:v>
                </c:pt>
                <c:pt idx="26">
                  <c:v>BEN</c:v>
                </c:pt>
                <c:pt idx="27">
                  <c:v>MAI</c:v>
                </c:pt>
                <c:pt idx="28">
                  <c:v>RSI</c:v>
                </c:pt>
                <c:pt idx="29">
                  <c:v>SEB</c:v>
                </c:pt>
                <c:pt idx="30">
                  <c:v>ROG</c:v>
                </c:pt>
                <c:pt idx="31">
                  <c:v>P01</c:v>
                </c:pt>
                <c:pt idx="32">
                  <c:v>KOP</c:v>
                </c:pt>
                <c:pt idx="33">
                  <c:v>P21</c:v>
                </c:pt>
                <c:pt idx="34">
                  <c:v>NID</c:v>
                </c:pt>
                <c:pt idx="35">
                  <c:v>NOR</c:v>
                </c:pt>
                <c:pt idx="36">
                  <c:v>ZEN</c:v>
                </c:pt>
                <c:pt idx="37">
                  <c:v>SIM</c:v>
                </c:pt>
                <c:pt idx="38">
                  <c:v>FRA</c:v>
                </c:pt>
                <c:pt idx="39">
                  <c:v>BON</c:v>
                </c:pt>
                <c:pt idx="40">
                  <c:v>PON</c:v>
                </c:pt>
                <c:pt idx="41">
                  <c:v>CLA</c:v>
                </c:pt>
                <c:pt idx="42">
                  <c:v>PAU</c:v>
                </c:pt>
                <c:pt idx="43">
                  <c:v>CAR</c:v>
                </c:pt>
                <c:pt idx="44">
                  <c:v>PTI</c:v>
                </c:pt>
                <c:pt idx="45">
                  <c:v>P10</c:v>
                </c:pt>
                <c:pt idx="46">
                  <c:v>MAU</c:v>
                </c:pt>
                <c:pt idx="47">
                  <c:v>CHE</c:v>
                </c:pt>
                <c:pt idx="48">
                  <c:v>P36</c:v>
                </c:pt>
                <c:pt idx="49">
                  <c:v>SAR</c:v>
                </c:pt>
                <c:pt idx="50">
                  <c:v>ROC</c:v>
                </c:pt>
                <c:pt idx="51">
                  <c:v>JAN</c:v>
                </c:pt>
                <c:pt idx="52">
                  <c:v>ROU</c:v>
                </c:pt>
                <c:pt idx="53">
                  <c:v>SOP</c:v>
                </c:pt>
                <c:pt idx="54">
                  <c:v>CHR</c:v>
                </c:pt>
                <c:pt idx="55">
                  <c:v>STA</c:v>
                </c:pt>
                <c:pt idx="56">
                  <c:v>ISA</c:v>
                </c:pt>
                <c:pt idx="57">
                  <c:v>P03</c:v>
                </c:pt>
                <c:pt idx="58">
                  <c:v>JMO</c:v>
                </c:pt>
                <c:pt idx="59">
                  <c:v>P08</c:v>
                </c:pt>
                <c:pt idx="60">
                  <c:v>P31</c:v>
                </c:pt>
                <c:pt idx="61">
                  <c:v>FER</c:v>
                </c:pt>
                <c:pt idx="62">
                  <c:v>P07</c:v>
                </c:pt>
                <c:pt idx="63">
                  <c:v>P19</c:v>
                </c:pt>
                <c:pt idx="64">
                  <c:v>LUC</c:v>
                </c:pt>
                <c:pt idx="65">
                  <c:v>MEY</c:v>
                </c:pt>
                <c:pt idx="66">
                  <c:v>AN1</c:v>
                </c:pt>
                <c:pt idx="67">
                  <c:v>DAR</c:v>
                </c:pt>
                <c:pt idx="68">
                  <c:v>GEO</c:v>
                </c:pt>
                <c:pt idx="69">
                  <c:v>DUM</c:v>
                </c:pt>
                <c:pt idx="70">
                  <c:v>BAC</c:v>
                </c:pt>
                <c:pt idx="71">
                  <c:v>HOD</c:v>
                </c:pt>
                <c:pt idx="72">
                  <c:v>CHA</c:v>
                </c:pt>
                <c:pt idx="73">
                  <c:v>JEA</c:v>
                </c:pt>
                <c:pt idx="74">
                  <c:v>WIL</c:v>
                </c:pt>
                <c:pt idx="75">
                  <c:v>BER</c:v>
                </c:pt>
                <c:pt idx="76">
                  <c:v>WEI</c:v>
                </c:pt>
                <c:pt idx="77">
                  <c:v>ANN</c:v>
                </c:pt>
              </c:strCache>
            </c:strRef>
          </c:cat>
          <c:val>
            <c:numRef>
              <c:f>'TOKEN PAR PERS_ONTO'!$U$2:$U$79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0.16041335312834112</c:v>
                </c:pt>
                <c:pt idx="4">
                  <c:v>0</c:v>
                </c:pt>
                <c:pt idx="5">
                  <c:v>0.22092107889018087</c:v>
                </c:pt>
                <c:pt idx="6">
                  <c:v>0</c:v>
                </c:pt>
                <c:pt idx="7">
                  <c:v>3.6351005307246775</c:v>
                </c:pt>
                <c:pt idx="8">
                  <c:v>0</c:v>
                </c:pt>
                <c:pt idx="9">
                  <c:v>0.15319198479109974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5.3023206490040478</c:v>
                </c:pt>
                <c:pt idx="45">
                  <c:v>0</c:v>
                </c:pt>
                <c:pt idx="46">
                  <c:v>0</c:v>
                </c:pt>
                <c:pt idx="47">
                  <c:v>3.6470838525362432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64C-FB49-B4AE-D23207F91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0392159"/>
        <c:axId val="133940495"/>
      </c:barChart>
      <c:catAx>
        <c:axId val="24039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940495"/>
        <c:crosses val="autoZero"/>
        <c:auto val="1"/>
        <c:lblAlgn val="ctr"/>
        <c:lblOffset val="100"/>
        <c:noMultiLvlLbl val="0"/>
      </c:catAx>
      <c:valAx>
        <c:axId val="13394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039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6021471351132745E-2"/>
          <c:y val="0.85930440870142344"/>
          <c:w val="0.94895475285666964"/>
          <c:h val="0.129609752279507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520700</xdr:colOff>
      <xdr:row>9</xdr:row>
      <xdr:rowOff>31750</xdr:rowOff>
    </xdr:from>
    <xdr:to>
      <xdr:col>39</xdr:col>
      <xdr:colOff>18406</xdr:colOff>
      <xdr:row>42</xdr:row>
      <xdr:rowOff>82826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0311578-22F5-F448-8B35-BD50611DB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78D5AC-A1C3-FD4C-8C76-585A4F9E4CFF}" name="Tableau3" displayName="Tableau3" ref="A1:V79" totalsRowShown="0">
  <autoFilter ref="A1:V79" xr:uid="{1978D5AC-A1C3-FD4C-8C76-585A4F9E4CFF}"/>
  <sortState xmlns:xlrd2="http://schemas.microsoft.com/office/spreadsheetml/2017/richdata2" ref="A2:V79">
    <sortCondition descending="1" ref="K1:K79"/>
  </sortState>
  <tableColumns count="22">
    <tableColumn id="1" xr3:uid="{AAA1A40D-2AFF-514F-B8F4-B2728872A5F9}" name="Personnes ontologiques" dataDxfId="21"/>
    <tableColumn id="2" xr3:uid="{7B5EE50B-99BC-8E4F-8856-BF07D06B03C6}" name="AVOIR L'AIR" dataDxfId="20"/>
    <tableColumn id="3" xr3:uid="{5F9AC242-0C29-A64F-9F8D-21A073C04240}" name="AVOIR L'IMPRESSION" dataDxfId="19"/>
    <tableColumn id="4" xr3:uid="{0724E90B-71CB-454B-9946-DAD6C3306D7A}" name="DONNER L'IMPRESSION" dataDxfId="18"/>
    <tableColumn id="5" xr3:uid="{E972FCAF-9EB4-FA40-BCFC-BFDEA99BF1F1}" name="PARAITRE" dataDxfId="17"/>
    <tableColumn id="6" xr3:uid="{49A15560-E463-B14A-B298-1E1DE37EF9D8}" name="SEMBLER" dataDxfId="16"/>
    <tableColumn id="7" xr3:uid="{21DCB9AB-F1BD-4F41-8A05-7B096ED4A536}" name="APPAREMMENT" dataDxfId="15"/>
    <tableColumn id="8" xr3:uid="{736B8A48-70B3-E845-BA1F-F324A189294C}" name="EVIDEMMENT" dataDxfId="14"/>
    <tableColumn id="9" xr3:uid="{A06A81DB-7F26-9148-8799-60D7B0F34E61}" name="MANIFESTEMENT" dataDxfId="13"/>
    <tableColumn id="10" xr3:uid="{032A8D55-2BB5-DF45-801D-FF3F4F0D161B}" name="VISIBLEMENT" dataDxfId="12"/>
    <tableColumn id="11" xr3:uid="{A0E4212B-F579-E14F-A5F3-FF89F38D5CAA}" name="TOTAL" dataDxfId="11">
      <calculatedColumnFormula>SUM(B2:J2)</calculatedColumnFormula>
    </tableColumn>
    <tableColumn id="12" xr3:uid="{306BA8C8-60E2-3D49-AA5A-197B37BF3647}" name="Temps de parole total personnes ontologiques" dataDxfId="10">
      <calculatedColumnFormula>_xlfn.XLOOKUP(Tableau3[[#This Row],[Personnes ontologiques]],'TEMPS PAROLE PERS_ONTO'!A:A,'TEMPS PAROLE PERS_ONTO'!B:B)</calculatedColumnFormula>
    </tableColumn>
    <tableColumn id="13" xr3:uid="{518C6B57-CA1A-124D-B2FB-D8FEE5751E25}" name="avoir l'air [look like] per 10 min" dataDxfId="9">
      <calculatedColumnFormula>Tableau3[[#This Row],[AVOIR L''AIR]]/Tableau3[[#This Row],[Temps de parole total personnes ontologiques]]*600</calculatedColumnFormula>
    </tableColumn>
    <tableColumn id="14" xr3:uid="{FF0F3E30-684A-DF4D-8823-45E50E5FAB7C}" name="avoir l'impression [feel] per 10 min" dataDxfId="8">
      <calculatedColumnFormula>Tableau3[[#This Row],[AVOIR L''IMPRESSION]]/Tableau3[[#This Row],[Temps de parole total personnes ontologiques]]*600</calculatedColumnFormula>
    </tableColumn>
    <tableColumn id="15" xr3:uid="{FDD3C5EA-9A1F-8448-8A7A-9C5B4AE90AF7}" name="donner l'impression [give the impression] per 10 min" dataDxfId="7">
      <calculatedColumnFormula>Tableau3[[#This Row],[DONNER L''IMPRESSION]]/Tableau3[[#This Row],[Temps de parole total personnes ontologiques]]*600</calculatedColumnFormula>
    </tableColumn>
    <tableColumn id="16" xr3:uid="{77448115-5EC2-3242-BEEB-1DB3FFD42E63}" name="paraître [appear] per 10 min" dataDxfId="6">
      <calculatedColumnFormula>Tableau3[[#This Row],[PARAITRE]]/Tableau3[[#This Row],[Temps de parole total personnes ontologiques]]*600</calculatedColumnFormula>
    </tableColumn>
    <tableColumn id="17" xr3:uid="{502AD916-C554-EC4F-B2C8-E3270AC9A933}" name="sembler [seem] per 10 min" dataDxfId="5">
      <calculatedColumnFormula>Tableau3[[#This Row],[SEMBLER]]/Tableau3[[#This Row],[Temps de parole total personnes ontologiques]]*600</calculatedColumnFormula>
    </tableColumn>
    <tableColumn id="18" xr3:uid="{FEE2D8C3-DC55-DC40-A380-C43EEA480036}" name="apparemment [apparently] per 10 min" dataDxfId="4">
      <calculatedColumnFormula>Tableau3[[#This Row],[APPAREMMENT]]/Tableau3[[#This Row],[Temps de parole total personnes ontologiques]]*600</calculatedColumnFormula>
    </tableColumn>
    <tableColumn id="19" xr3:uid="{4F3DC75A-CD6D-B940-9149-E1A0AF4DB531}" name="évidemment [obviously] per 10 min" dataDxfId="3">
      <calculatedColumnFormula>Tableau3[[#This Row],[EVIDEMMENT]]/Tableau3[[#This Row],[Temps de parole total personnes ontologiques]]*600</calculatedColumnFormula>
    </tableColumn>
    <tableColumn id="20" xr3:uid="{024397E0-B2BE-0C4F-8343-26C524CE2659}" name="manifestement [clearly] per 10 min" dataDxfId="2">
      <calculatedColumnFormula>Tableau3[[#This Row],[MANIFESTEMENT]]/Tableau3[[#This Row],[Temps de parole total personnes ontologiques]]*600</calculatedColumnFormula>
    </tableColumn>
    <tableColumn id="21" xr3:uid="{00EEF610-673D-F445-B749-8A1C66CF887A}" name="visiblement [visibly] per 10 min" dataDxfId="1">
      <calculatedColumnFormula>Tableau3[[#This Row],[VISIBLEMENT]]/Tableau3[[#This Row],[Temps de parole total personnes ontologiques]]*600</calculatedColumnFormula>
    </tableColumn>
    <tableColumn id="22" xr3:uid="{A4B4B063-9941-1247-A670-915B088B9306}" name="Total par 10 min" dataDxfId="0">
      <calculatedColumnFormula>SUM(Tableau3[[#This Row],[avoir l''air '[look like'] per 10 min]:[visiblement '[visibly'] per 10 min]])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B5D0-B180-D249-AA72-08AA510623DF}">
  <dimension ref="A1:T322"/>
  <sheetViews>
    <sheetView tabSelected="1" zoomScale="120" zoomScaleNormal="120" workbookViewId="0">
      <selection activeCell="J1" sqref="J1"/>
    </sheetView>
  </sheetViews>
  <sheetFormatPr baseColWidth="10" defaultColWidth="11" defaultRowHeight="16" x14ac:dyDescent="0.2"/>
  <cols>
    <col min="6" max="6" width="19.33203125" customWidth="1"/>
    <col min="9" max="9" width="40.33203125" customWidth="1"/>
    <col min="17" max="17" width="20.832031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20001</v>
      </c>
      <c r="B2" t="s">
        <v>21</v>
      </c>
      <c r="C2">
        <v>2007</v>
      </c>
      <c r="D2" t="s">
        <v>22</v>
      </c>
      <c r="E2">
        <v>804366</v>
      </c>
      <c r="F2">
        <v>804552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L2" t="s">
        <v>27</v>
      </c>
      <c r="M2" t="s">
        <v>29</v>
      </c>
      <c r="N2" t="s">
        <v>29</v>
      </c>
      <c r="O2" t="s">
        <v>29</v>
      </c>
      <c r="P2" t="s">
        <v>20</v>
      </c>
      <c r="R2" t="s">
        <v>30</v>
      </c>
      <c r="S2" t="s">
        <v>31</v>
      </c>
      <c r="T2" t="s">
        <v>32</v>
      </c>
    </row>
    <row r="3" spans="1:20" x14ac:dyDescent="0.2">
      <c r="A3">
        <v>20002</v>
      </c>
      <c r="B3" t="s">
        <v>33</v>
      </c>
      <c r="C3">
        <v>2007</v>
      </c>
      <c r="D3" t="s">
        <v>22</v>
      </c>
      <c r="E3">
        <v>1352035</v>
      </c>
      <c r="F3">
        <v>1352284</v>
      </c>
      <c r="G3" t="s">
        <v>34</v>
      </c>
      <c r="H3" t="s">
        <v>24</v>
      </c>
      <c r="I3" t="s">
        <v>25</v>
      </c>
      <c r="J3" t="s">
        <v>35</v>
      </c>
      <c r="K3" t="s">
        <v>26</v>
      </c>
      <c r="L3" t="s">
        <v>27</v>
      </c>
      <c r="M3" t="s">
        <v>29</v>
      </c>
      <c r="N3" t="s">
        <v>36</v>
      </c>
      <c r="O3" t="s">
        <v>36</v>
      </c>
      <c r="P3" t="s">
        <v>37</v>
      </c>
      <c r="Q3" t="s">
        <v>38</v>
      </c>
      <c r="R3" t="s">
        <v>30</v>
      </c>
      <c r="S3" t="s">
        <v>31</v>
      </c>
      <c r="T3" t="s">
        <v>32</v>
      </c>
    </row>
    <row r="4" spans="1:20" x14ac:dyDescent="0.2">
      <c r="A4">
        <v>20003</v>
      </c>
      <c r="B4" t="s">
        <v>21</v>
      </c>
      <c r="C4">
        <v>2007</v>
      </c>
      <c r="D4" t="s">
        <v>22</v>
      </c>
      <c r="E4">
        <v>1888187</v>
      </c>
      <c r="F4">
        <v>1888333</v>
      </c>
      <c r="G4" t="s">
        <v>34</v>
      </c>
      <c r="H4" t="s">
        <v>24</v>
      </c>
      <c r="I4" t="s">
        <v>25</v>
      </c>
      <c r="J4" t="s">
        <v>26</v>
      </c>
      <c r="K4" t="s">
        <v>26</v>
      </c>
      <c r="L4" t="s">
        <v>27</v>
      </c>
      <c r="M4" t="s">
        <v>29</v>
      </c>
      <c r="N4" t="s">
        <v>29</v>
      </c>
      <c r="O4" t="s">
        <v>29</v>
      </c>
      <c r="P4" t="s">
        <v>37</v>
      </c>
      <c r="Q4" t="s">
        <v>40</v>
      </c>
      <c r="R4" t="s">
        <v>30</v>
      </c>
      <c r="S4" t="s">
        <v>31</v>
      </c>
      <c r="T4" t="s">
        <v>32</v>
      </c>
    </row>
    <row r="5" spans="1:20" x14ac:dyDescent="0.2">
      <c r="A5">
        <v>20004</v>
      </c>
      <c r="B5" t="s">
        <v>41</v>
      </c>
      <c r="C5">
        <v>2007</v>
      </c>
      <c r="D5" t="s">
        <v>42</v>
      </c>
      <c r="E5">
        <v>340280</v>
      </c>
      <c r="F5">
        <v>341094</v>
      </c>
      <c r="G5" t="s">
        <v>34</v>
      </c>
      <c r="H5" t="s">
        <v>24</v>
      </c>
      <c r="I5" t="s">
        <v>25</v>
      </c>
      <c r="J5" t="s">
        <v>35</v>
      </c>
      <c r="K5" t="s">
        <v>26</v>
      </c>
      <c r="L5" t="s">
        <v>27</v>
      </c>
      <c r="M5" t="s">
        <v>36</v>
      </c>
      <c r="N5" t="s">
        <v>44</v>
      </c>
      <c r="O5" t="s">
        <v>36</v>
      </c>
      <c r="P5" t="s">
        <v>45</v>
      </c>
      <c r="R5" t="s">
        <v>46</v>
      </c>
      <c r="S5" t="s">
        <v>31</v>
      </c>
      <c r="T5" t="s">
        <v>32</v>
      </c>
    </row>
    <row r="6" spans="1:20" x14ac:dyDescent="0.2">
      <c r="A6">
        <v>20005</v>
      </c>
      <c r="B6" t="s">
        <v>47</v>
      </c>
      <c r="C6">
        <v>2013</v>
      </c>
      <c r="D6" t="s">
        <v>42</v>
      </c>
      <c r="E6">
        <v>880398</v>
      </c>
      <c r="F6">
        <v>880572</v>
      </c>
      <c r="G6" t="s">
        <v>34</v>
      </c>
      <c r="H6" t="s">
        <v>24</v>
      </c>
      <c r="I6" t="s">
        <v>25</v>
      </c>
      <c r="J6" t="s">
        <v>26</v>
      </c>
      <c r="K6" t="s">
        <v>26</v>
      </c>
      <c r="L6" t="s">
        <v>27</v>
      </c>
      <c r="M6" t="s">
        <v>44</v>
      </c>
      <c r="N6" t="s">
        <v>44</v>
      </c>
      <c r="O6" t="s">
        <v>44</v>
      </c>
      <c r="P6" t="s">
        <v>45</v>
      </c>
      <c r="R6" t="s">
        <v>30</v>
      </c>
      <c r="S6" t="s">
        <v>31</v>
      </c>
      <c r="T6" t="s">
        <v>32</v>
      </c>
    </row>
    <row r="7" spans="1:20" x14ac:dyDescent="0.2">
      <c r="A7">
        <v>20006</v>
      </c>
      <c r="B7" t="s">
        <v>49</v>
      </c>
      <c r="C7">
        <v>2017</v>
      </c>
      <c r="D7" t="s">
        <v>50</v>
      </c>
      <c r="E7">
        <v>2729947</v>
      </c>
      <c r="F7">
        <v>2730002</v>
      </c>
      <c r="G7" t="s">
        <v>34</v>
      </c>
      <c r="H7" t="s">
        <v>24</v>
      </c>
      <c r="I7" t="s">
        <v>25</v>
      </c>
      <c r="J7" t="s">
        <v>35</v>
      </c>
      <c r="K7" t="s">
        <v>51</v>
      </c>
      <c r="L7" t="s">
        <v>27</v>
      </c>
      <c r="M7" t="s">
        <v>53</v>
      </c>
      <c r="N7" t="s">
        <v>53</v>
      </c>
      <c r="O7" t="s">
        <v>53</v>
      </c>
      <c r="P7" t="s">
        <v>37</v>
      </c>
      <c r="Q7" t="s">
        <v>54</v>
      </c>
      <c r="R7" t="s">
        <v>30</v>
      </c>
      <c r="S7" t="s">
        <v>31</v>
      </c>
      <c r="T7" t="s">
        <v>32</v>
      </c>
    </row>
    <row r="8" spans="1:20" x14ac:dyDescent="0.2">
      <c r="A8">
        <v>20007</v>
      </c>
      <c r="B8" t="s">
        <v>55</v>
      </c>
      <c r="C8">
        <v>2008</v>
      </c>
      <c r="D8" t="s">
        <v>22</v>
      </c>
      <c r="E8">
        <v>2878433</v>
      </c>
      <c r="F8">
        <v>2878820</v>
      </c>
      <c r="G8" t="s">
        <v>56</v>
      </c>
      <c r="H8" t="s">
        <v>57</v>
      </c>
      <c r="I8" t="s">
        <v>25</v>
      </c>
      <c r="J8" t="s">
        <v>35</v>
      </c>
      <c r="K8" t="s">
        <v>26</v>
      </c>
      <c r="L8" t="s">
        <v>27</v>
      </c>
      <c r="M8" t="s">
        <v>29</v>
      </c>
      <c r="N8" t="s">
        <v>29</v>
      </c>
      <c r="O8" t="s">
        <v>29</v>
      </c>
      <c r="P8" t="s">
        <v>20</v>
      </c>
      <c r="R8" t="s">
        <v>46</v>
      </c>
      <c r="S8" t="s">
        <v>31</v>
      </c>
      <c r="T8" t="s">
        <v>32</v>
      </c>
    </row>
    <row r="9" spans="1:20" x14ac:dyDescent="0.2">
      <c r="A9">
        <v>20008</v>
      </c>
      <c r="B9" t="s">
        <v>61</v>
      </c>
      <c r="C9">
        <v>2007</v>
      </c>
      <c r="D9" t="s">
        <v>42</v>
      </c>
      <c r="E9">
        <v>3199465</v>
      </c>
      <c r="F9">
        <v>3199624</v>
      </c>
      <c r="G9" t="s">
        <v>56</v>
      </c>
      <c r="H9" t="s">
        <v>57</v>
      </c>
      <c r="I9" t="s">
        <v>25</v>
      </c>
      <c r="J9" t="s">
        <v>26</v>
      </c>
      <c r="K9" t="s">
        <v>62</v>
      </c>
      <c r="L9" t="s">
        <v>63</v>
      </c>
      <c r="M9" t="s">
        <v>44</v>
      </c>
      <c r="N9" t="s">
        <v>44</v>
      </c>
      <c r="O9" t="s">
        <v>44</v>
      </c>
      <c r="P9" t="s">
        <v>37</v>
      </c>
      <c r="Q9" t="s">
        <v>66</v>
      </c>
      <c r="R9" t="s">
        <v>30</v>
      </c>
      <c r="S9" t="s">
        <v>31</v>
      </c>
      <c r="T9" t="s">
        <v>32</v>
      </c>
    </row>
    <row r="10" spans="1:20" x14ac:dyDescent="0.2">
      <c r="A10">
        <v>20009</v>
      </c>
      <c r="B10" t="s">
        <v>67</v>
      </c>
      <c r="C10">
        <v>2007</v>
      </c>
      <c r="D10" t="s">
        <v>42</v>
      </c>
      <c r="E10">
        <v>463064</v>
      </c>
      <c r="F10">
        <v>463380</v>
      </c>
      <c r="G10" t="s">
        <v>56</v>
      </c>
      <c r="H10" t="s">
        <v>57</v>
      </c>
      <c r="I10" t="s">
        <v>25</v>
      </c>
      <c r="J10" t="s">
        <v>68</v>
      </c>
      <c r="K10" t="s">
        <v>69</v>
      </c>
      <c r="L10" t="s">
        <v>27</v>
      </c>
      <c r="M10" t="s">
        <v>44</v>
      </c>
      <c r="N10" t="s">
        <v>44</v>
      </c>
      <c r="O10" t="s">
        <v>44</v>
      </c>
      <c r="P10" t="s">
        <v>37</v>
      </c>
      <c r="Q10" t="s">
        <v>66</v>
      </c>
      <c r="R10" t="s">
        <v>30</v>
      </c>
      <c r="S10" t="s">
        <v>31</v>
      </c>
      <c r="T10" t="s">
        <v>32</v>
      </c>
    </row>
    <row r="11" spans="1:20" x14ac:dyDescent="0.2">
      <c r="A11">
        <v>20010</v>
      </c>
      <c r="B11" t="s">
        <v>71</v>
      </c>
      <c r="C11">
        <v>2009</v>
      </c>
      <c r="D11" t="s">
        <v>22</v>
      </c>
      <c r="E11">
        <v>2384187</v>
      </c>
      <c r="F11">
        <v>2385363</v>
      </c>
      <c r="G11" t="s">
        <v>72</v>
      </c>
      <c r="H11" t="s">
        <v>57</v>
      </c>
      <c r="I11" t="s">
        <v>73</v>
      </c>
      <c r="J11" t="s">
        <v>26</v>
      </c>
      <c r="K11" t="s">
        <v>26</v>
      </c>
      <c r="L11" t="s">
        <v>63</v>
      </c>
      <c r="M11" t="s">
        <v>29</v>
      </c>
      <c r="N11" t="s">
        <v>29</v>
      </c>
      <c r="O11" t="s">
        <v>29</v>
      </c>
      <c r="P11" t="s">
        <v>37</v>
      </c>
      <c r="Q11" t="s">
        <v>76</v>
      </c>
      <c r="R11" t="s">
        <v>77</v>
      </c>
      <c r="S11" t="s">
        <v>31</v>
      </c>
      <c r="T11" t="s">
        <v>32</v>
      </c>
    </row>
    <row r="12" spans="1:20" x14ac:dyDescent="0.2">
      <c r="A12">
        <v>20012</v>
      </c>
      <c r="B12" t="s">
        <v>67</v>
      </c>
      <c r="C12">
        <v>2007</v>
      </c>
      <c r="D12" t="s">
        <v>42</v>
      </c>
      <c r="E12">
        <v>3480664</v>
      </c>
      <c r="F12">
        <v>3481291</v>
      </c>
      <c r="G12" t="s">
        <v>72</v>
      </c>
      <c r="H12" t="s">
        <v>57</v>
      </c>
      <c r="I12" t="s">
        <v>73</v>
      </c>
      <c r="J12" t="s">
        <v>35</v>
      </c>
      <c r="K12" t="s">
        <v>69</v>
      </c>
      <c r="L12" t="s">
        <v>63</v>
      </c>
      <c r="M12" t="s">
        <v>44</v>
      </c>
      <c r="N12" t="s">
        <v>44</v>
      </c>
      <c r="O12" t="s">
        <v>44</v>
      </c>
      <c r="P12" t="s">
        <v>37</v>
      </c>
      <c r="Q12" t="s">
        <v>40</v>
      </c>
      <c r="R12" t="s">
        <v>77</v>
      </c>
      <c r="S12" t="s">
        <v>31</v>
      </c>
      <c r="T12" t="s">
        <v>80</v>
      </c>
    </row>
    <row r="13" spans="1:20" x14ac:dyDescent="0.2">
      <c r="A13">
        <v>20013</v>
      </c>
      <c r="B13" t="s">
        <v>81</v>
      </c>
      <c r="C13">
        <v>2017</v>
      </c>
      <c r="D13" t="s">
        <v>50</v>
      </c>
      <c r="E13">
        <v>1996191</v>
      </c>
      <c r="F13">
        <v>1996800</v>
      </c>
      <c r="G13" t="s">
        <v>72</v>
      </c>
      <c r="H13" t="s">
        <v>57</v>
      </c>
      <c r="I13" t="s">
        <v>73</v>
      </c>
      <c r="J13" t="s">
        <v>26</v>
      </c>
      <c r="K13" t="s">
        <v>26</v>
      </c>
      <c r="L13" t="s">
        <v>27</v>
      </c>
      <c r="M13" t="s">
        <v>29</v>
      </c>
      <c r="N13" t="s">
        <v>29</v>
      </c>
      <c r="O13" t="s">
        <v>29</v>
      </c>
      <c r="P13" t="s">
        <v>20</v>
      </c>
      <c r="R13" t="s">
        <v>77</v>
      </c>
      <c r="S13" t="s">
        <v>31</v>
      </c>
      <c r="T13" t="s">
        <v>32</v>
      </c>
    </row>
    <row r="14" spans="1:20" x14ac:dyDescent="0.2">
      <c r="A14">
        <v>20014</v>
      </c>
      <c r="B14" t="s">
        <v>83</v>
      </c>
      <c r="C14">
        <v>2017</v>
      </c>
      <c r="D14" t="s">
        <v>50</v>
      </c>
      <c r="E14">
        <v>3146178</v>
      </c>
      <c r="F14">
        <v>3146624</v>
      </c>
      <c r="G14" t="s">
        <v>72</v>
      </c>
      <c r="H14" t="s">
        <v>57</v>
      </c>
      <c r="I14" t="s">
        <v>73</v>
      </c>
      <c r="J14" t="s">
        <v>26</v>
      </c>
      <c r="K14" t="s">
        <v>51</v>
      </c>
      <c r="L14" t="s">
        <v>27</v>
      </c>
      <c r="M14" t="s">
        <v>53</v>
      </c>
      <c r="N14" t="s">
        <v>53</v>
      </c>
      <c r="O14" t="s">
        <v>53</v>
      </c>
      <c r="P14" t="s">
        <v>20</v>
      </c>
      <c r="R14" t="s">
        <v>77</v>
      </c>
      <c r="S14" t="s">
        <v>31</v>
      </c>
      <c r="T14" t="s">
        <v>32</v>
      </c>
    </row>
    <row r="15" spans="1:20" x14ac:dyDescent="0.2">
      <c r="A15">
        <v>20015</v>
      </c>
      <c r="B15" t="s">
        <v>85</v>
      </c>
      <c r="C15">
        <v>2017</v>
      </c>
      <c r="D15" t="s">
        <v>50</v>
      </c>
      <c r="E15">
        <v>2888539</v>
      </c>
      <c r="F15">
        <v>2888989</v>
      </c>
      <c r="G15" t="s">
        <v>72</v>
      </c>
      <c r="H15" t="s">
        <v>57</v>
      </c>
      <c r="I15" t="s">
        <v>73</v>
      </c>
      <c r="J15" t="s">
        <v>35</v>
      </c>
      <c r="K15" t="s">
        <v>51</v>
      </c>
      <c r="L15" t="s">
        <v>27</v>
      </c>
      <c r="M15" t="s">
        <v>36</v>
      </c>
      <c r="N15" t="s">
        <v>29</v>
      </c>
      <c r="O15" t="s">
        <v>29</v>
      </c>
      <c r="P15" t="s">
        <v>20</v>
      </c>
      <c r="R15" t="s">
        <v>77</v>
      </c>
      <c r="S15" t="s">
        <v>31</v>
      </c>
      <c r="T15" t="s">
        <v>32</v>
      </c>
    </row>
    <row r="16" spans="1:20" x14ac:dyDescent="0.2">
      <c r="A16">
        <v>20017</v>
      </c>
      <c r="B16" t="s">
        <v>88</v>
      </c>
      <c r="C16">
        <v>2017</v>
      </c>
      <c r="D16" t="s">
        <v>50</v>
      </c>
      <c r="E16">
        <v>1431198</v>
      </c>
      <c r="F16">
        <v>1431300</v>
      </c>
      <c r="G16" t="s">
        <v>56</v>
      </c>
      <c r="H16" t="s">
        <v>57</v>
      </c>
      <c r="I16" t="s">
        <v>25</v>
      </c>
      <c r="J16" t="s">
        <v>26</v>
      </c>
      <c r="K16" t="s">
        <v>26</v>
      </c>
      <c r="L16" t="s">
        <v>27</v>
      </c>
      <c r="M16" t="s">
        <v>53</v>
      </c>
      <c r="N16" t="s">
        <v>53</v>
      </c>
      <c r="O16" t="s">
        <v>53</v>
      </c>
      <c r="P16" t="s">
        <v>20</v>
      </c>
      <c r="R16" t="s">
        <v>30</v>
      </c>
      <c r="S16" t="s">
        <v>31</v>
      </c>
      <c r="T16" t="s">
        <v>32</v>
      </c>
    </row>
    <row r="17" spans="1:20" x14ac:dyDescent="0.2">
      <c r="A17">
        <v>20018</v>
      </c>
      <c r="B17" t="s">
        <v>85</v>
      </c>
      <c r="C17">
        <v>2017</v>
      </c>
      <c r="D17" t="s">
        <v>50</v>
      </c>
      <c r="E17">
        <v>2522231</v>
      </c>
      <c r="F17">
        <v>2522644</v>
      </c>
      <c r="G17" t="s">
        <v>56</v>
      </c>
      <c r="H17" t="s">
        <v>57</v>
      </c>
      <c r="I17" t="s">
        <v>25</v>
      </c>
      <c r="J17" t="s">
        <v>26</v>
      </c>
      <c r="K17" t="s">
        <v>51</v>
      </c>
      <c r="L17" t="s">
        <v>89</v>
      </c>
      <c r="M17" t="s">
        <v>29</v>
      </c>
      <c r="N17" t="s">
        <v>29</v>
      </c>
      <c r="O17" t="s">
        <v>29</v>
      </c>
      <c r="P17" t="s">
        <v>20</v>
      </c>
      <c r="R17" t="s">
        <v>30</v>
      </c>
      <c r="S17" t="s">
        <v>31</v>
      </c>
      <c r="T17" t="s">
        <v>32</v>
      </c>
    </row>
    <row r="18" spans="1:20" x14ac:dyDescent="0.2">
      <c r="A18">
        <v>20019</v>
      </c>
      <c r="B18" t="s">
        <v>85</v>
      </c>
      <c r="C18">
        <v>2017</v>
      </c>
      <c r="D18" t="s">
        <v>50</v>
      </c>
      <c r="E18">
        <v>3934802</v>
      </c>
      <c r="F18">
        <v>3935249</v>
      </c>
      <c r="G18" t="s">
        <v>56</v>
      </c>
      <c r="H18" t="s">
        <v>57</v>
      </c>
      <c r="I18" t="s">
        <v>25</v>
      </c>
      <c r="J18" t="s">
        <v>35</v>
      </c>
      <c r="K18" t="s">
        <v>51</v>
      </c>
      <c r="L18" t="s">
        <v>27</v>
      </c>
      <c r="M18" t="s">
        <v>36</v>
      </c>
      <c r="N18" t="s">
        <v>29</v>
      </c>
      <c r="O18" t="s">
        <v>29</v>
      </c>
      <c r="P18" t="s">
        <v>20</v>
      </c>
      <c r="R18" t="s">
        <v>30</v>
      </c>
      <c r="S18" t="s">
        <v>31</v>
      </c>
      <c r="T18" t="s">
        <v>32</v>
      </c>
    </row>
    <row r="19" spans="1:20" x14ac:dyDescent="0.2">
      <c r="A19">
        <v>20020</v>
      </c>
      <c r="B19" t="s">
        <v>85</v>
      </c>
      <c r="C19">
        <v>2017</v>
      </c>
      <c r="D19" t="s">
        <v>50</v>
      </c>
      <c r="E19">
        <v>20296</v>
      </c>
      <c r="F19">
        <v>20648</v>
      </c>
      <c r="G19" t="s">
        <v>56</v>
      </c>
      <c r="H19" t="s">
        <v>57</v>
      </c>
      <c r="I19" t="s">
        <v>25</v>
      </c>
      <c r="J19" t="s">
        <v>26</v>
      </c>
      <c r="K19" t="s">
        <v>51</v>
      </c>
      <c r="L19" t="s">
        <v>27</v>
      </c>
      <c r="M19" t="s">
        <v>53</v>
      </c>
      <c r="N19" t="s">
        <v>53</v>
      </c>
      <c r="O19" t="s">
        <v>53</v>
      </c>
      <c r="P19" t="s">
        <v>20</v>
      </c>
      <c r="R19" t="s">
        <v>30</v>
      </c>
      <c r="S19" t="s">
        <v>31</v>
      </c>
      <c r="T19" t="s">
        <v>32</v>
      </c>
    </row>
    <row r="20" spans="1:20" x14ac:dyDescent="0.2">
      <c r="A20">
        <v>20021</v>
      </c>
      <c r="B20" t="s">
        <v>85</v>
      </c>
      <c r="C20">
        <v>2017</v>
      </c>
      <c r="D20" t="s">
        <v>50</v>
      </c>
      <c r="E20">
        <v>5777249</v>
      </c>
      <c r="F20">
        <v>5777423</v>
      </c>
      <c r="G20" t="s">
        <v>56</v>
      </c>
      <c r="H20" t="s">
        <v>57</v>
      </c>
      <c r="I20" t="s">
        <v>25</v>
      </c>
      <c r="J20" t="s">
        <v>26</v>
      </c>
      <c r="K20" t="s">
        <v>26</v>
      </c>
      <c r="L20" t="s">
        <v>27</v>
      </c>
      <c r="M20" t="s">
        <v>29</v>
      </c>
      <c r="N20" t="s">
        <v>36</v>
      </c>
      <c r="O20" t="s">
        <v>36</v>
      </c>
      <c r="P20" t="s">
        <v>20</v>
      </c>
      <c r="R20" t="s">
        <v>30</v>
      </c>
      <c r="S20" t="s">
        <v>31</v>
      </c>
      <c r="T20" t="s">
        <v>32</v>
      </c>
    </row>
    <row r="21" spans="1:20" x14ac:dyDescent="0.2">
      <c r="A21">
        <v>20023</v>
      </c>
      <c r="B21" t="s">
        <v>92</v>
      </c>
      <c r="C21">
        <v>2017</v>
      </c>
      <c r="D21" t="s">
        <v>50</v>
      </c>
      <c r="E21">
        <v>2018074</v>
      </c>
      <c r="F21">
        <v>2018700</v>
      </c>
      <c r="G21" t="s">
        <v>72</v>
      </c>
      <c r="H21" t="s">
        <v>57</v>
      </c>
      <c r="I21" t="s">
        <v>73</v>
      </c>
      <c r="J21" t="s">
        <v>26</v>
      </c>
      <c r="K21" t="s">
        <v>26</v>
      </c>
      <c r="L21" t="s">
        <v>27</v>
      </c>
      <c r="M21" t="s">
        <v>36</v>
      </c>
      <c r="N21" t="s">
        <v>36</v>
      </c>
      <c r="O21" t="s">
        <v>36</v>
      </c>
      <c r="P21" t="s">
        <v>37</v>
      </c>
      <c r="Q21" t="s">
        <v>95</v>
      </c>
      <c r="R21" t="s">
        <v>77</v>
      </c>
      <c r="S21" t="s">
        <v>31</v>
      </c>
      <c r="T21" t="s">
        <v>32</v>
      </c>
    </row>
    <row r="22" spans="1:20" x14ac:dyDescent="0.2">
      <c r="A22">
        <v>20024</v>
      </c>
      <c r="B22" t="s">
        <v>92</v>
      </c>
      <c r="C22">
        <v>2017</v>
      </c>
      <c r="D22" t="s">
        <v>50</v>
      </c>
      <c r="E22">
        <v>2094604</v>
      </c>
      <c r="F22">
        <v>2095183</v>
      </c>
      <c r="G22" t="s">
        <v>72</v>
      </c>
      <c r="H22" t="s">
        <v>57</v>
      </c>
      <c r="I22" t="s">
        <v>73</v>
      </c>
      <c r="J22" t="s">
        <v>26</v>
      </c>
      <c r="K22" t="s">
        <v>26</v>
      </c>
      <c r="L22" t="s">
        <v>27</v>
      </c>
      <c r="M22" t="s">
        <v>29</v>
      </c>
      <c r="N22" t="s">
        <v>36</v>
      </c>
      <c r="O22" t="s">
        <v>36</v>
      </c>
      <c r="P22" t="s">
        <v>37</v>
      </c>
      <c r="Q22" t="s">
        <v>96</v>
      </c>
      <c r="R22" t="s">
        <v>77</v>
      </c>
      <c r="S22" t="s">
        <v>31</v>
      </c>
      <c r="T22" t="s">
        <v>32</v>
      </c>
    </row>
    <row r="23" spans="1:20" x14ac:dyDescent="0.2">
      <c r="A23">
        <v>20025</v>
      </c>
      <c r="B23" t="s">
        <v>92</v>
      </c>
      <c r="C23">
        <v>2017</v>
      </c>
      <c r="D23" t="s">
        <v>50</v>
      </c>
      <c r="E23">
        <v>1452304</v>
      </c>
      <c r="F23">
        <v>1452888</v>
      </c>
      <c r="G23" t="s">
        <v>72</v>
      </c>
      <c r="H23" t="s">
        <v>57</v>
      </c>
      <c r="I23" t="s">
        <v>73</v>
      </c>
      <c r="J23" t="s">
        <v>26</v>
      </c>
      <c r="K23" t="s">
        <v>69</v>
      </c>
      <c r="L23" t="s">
        <v>27</v>
      </c>
      <c r="M23" t="s">
        <v>29</v>
      </c>
      <c r="N23" t="s">
        <v>29</v>
      </c>
      <c r="O23" t="s">
        <v>29</v>
      </c>
      <c r="P23" t="s">
        <v>37</v>
      </c>
      <c r="Q23" t="s">
        <v>66</v>
      </c>
      <c r="R23" t="s">
        <v>77</v>
      </c>
      <c r="S23" t="s">
        <v>31</v>
      </c>
      <c r="T23" t="s">
        <v>98</v>
      </c>
    </row>
    <row r="24" spans="1:20" x14ac:dyDescent="0.2">
      <c r="A24">
        <v>20026</v>
      </c>
      <c r="B24" t="s">
        <v>99</v>
      </c>
      <c r="C24">
        <v>2017</v>
      </c>
      <c r="D24" t="s">
        <v>50</v>
      </c>
      <c r="E24">
        <v>3267596</v>
      </c>
      <c r="F24">
        <v>3269069</v>
      </c>
      <c r="G24" t="s">
        <v>72</v>
      </c>
      <c r="H24" t="s">
        <v>57</v>
      </c>
      <c r="I24" t="s">
        <v>73</v>
      </c>
      <c r="J24" t="s">
        <v>35</v>
      </c>
      <c r="K24" t="s">
        <v>26</v>
      </c>
      <c r="L24" t="s">
        <v>27</v>
      </c>
      <c r="M24" t="s">
        <v>29</v>
      </c>
      <c r="N24" t="s">
        <v>36</v>
      </c>
      <c r="O24" t="s">
        <v>29</v>
      </c>
      <c r="P24" t="s">
        <v>37</v>
      </c>
      <c r="Q24" t="s">
        <v>40</v>
      </c>
      <c r="R24" t="s">
        <v>77</v>
      </c>
      <c r="S24" t="s">
        <v>31</v>
      </c>
      <c r="T24" t="s">
        <v>80</v>
      </c>
    </row>
    <row r="25" spans="1:20" x14ac:dyDescent="0.2">
      <c r="A25">
        <v>20027</v>
      </c>
      <c r="B25" t="s">
        <v>99</v>
      </c>
      <c r="C25">
        <v>2017</v>
      </c>
      <c r="D25" t="s">
        <v>50</v>
      </c>
      <c r="E25">
        <v>4398999</v>
      </c>
      <c r="F25">
        <v>4399496</v>
      </c>
      <c r="G25" t="s">
        <v>72</v>
      </c>
      <c r="H25" t="s">
        <v>57</v>
      </c>
      <c r="I25" t="s">
        <v>73</v>
      </c>
      <c r="J25" t="s">
        <v>26</v>
      </c>
      <c r="K25" t="s">
        <v>26</v>
      </c>
      <c r="L25" t="s">
        <v>27</v>
      </c>
      <c r="M25" t="s">
        <v>53</v>
      </c>
      <c r="N25" t="s">
        <v>29</v>
      </c>
      <c r="O25" t="s">
        <v>29</v>
      </c>
      <c r="P25" t="s">
        <v>37</v>
      </c>
      <c r="Q25" t="s">
        <v>54</v>
      </c>
      <c r="R25" t="s">
        <v>77</v>
      </c>
      <c r="S25" t="s">
        <v>31</v>
      </c>
      <c r="T25" t="s">
        <v>32</v>
      </c>
    </row>
    <row r="26" spans="1:20" x14ac:dyDescent="0.2">
      <c r="A26">
        <v>20028</v>
      </c>
      <c r="B26" t="s">
        <v>102</v>
      </c>
      <c r="C26">
        <v>2017</v>
      </c>
      <c r="D26" t="s">
        <v>50</v>
      </c>
      <c r="E26">
        <v>2307546</v>
      </c>
      <c r="F26">
        <v>2308298</v>
      </c>
      <c r="G26" t="s">
        <v>72</v>
      </c>
      <c r="H26" t="s">
        <v>57</v>
      </c>
      <c r="I26" t="s">
        <v>73</v>
      </c>
      <c r="J26" t="s">
        <v>62</v>
      </c>
      <c r="K26" t="s">
        <v>26</v>
      </c>
      <c r="L26" t="s">
        <v>27</v>
      </c>
      <c r="M26" t="s">
        <v>53</v>
      </c>
      <c r="N26" t="s">
        <v>53</v>
      </c>
      <c r="O26" t="s">
        <v>53</v>
      </c>
      <c r="P26" t="s">
        <v>37</v>
      </c>
      <c r="Q26" t="s">
        <v>54</v>
      </c>
      <c r="R26" t="s">
        <v>77</v>
      </c>
      <c r="S26" t="s">
        <v>31</v>
      </c>
      <c r="T26" t="s">
        <v>32</v>
      </c>
    </row>
    <row r="27" spans="1:20" x14ac:dyDescent="0.2">
      <c r="A27">
        <v>20029</v>
      </c>
      <c r="B27" t="s">
        <v>104</v>
      </c>
      <c r="C27">
        <v>2017</v>
      </c>
      <c r="D27" t="s">
        <v>50</v>
      </c>
      <c r="E27">
        <v>2706730</v>
      </c>
      <c r="F27">
        <v>2708308</v>
      </c>
      <c r="G27" t="s">
        <v>72</v>
      </c>
      <c r="H27" t="s">
        <v>57</v>
      </c>
      <c r="I27" t="s">
        <v>73</v>
      </c>
      <c r="J27" t="s">
        <v>26</v>
      </c>
      <c r="K27" t="s">
        <v>26</v>
      </c>
      <c r="L27" t="s">
        <v>27</v>
      </c>
      <c r="M27" t="s">
        <v>36</v>
      </c>
      <c r="N27" t="s">
        <v>29</v>
      </c>
      <c r="O27" t="s">
        <v>36</v>
      </c>
      <c r="P27" t="s">
        <v>20</v>
      </c>
      <c r="R27" t="s">
        <v>77</v>
      </c>
      <c r="S27" t="s">
        <v>31</v>
      </c>
      <c r="T27" t="s">
        <v>32</v>
      </c>
    </row>
    <row r="28" spans="1:20" x14ac:dyDescent="0.2">
      <c r="A28">
        <v>20030</v>
      </c>
      <c r="B28" t="s">
        <v>104</v>
      </c>
      <c r="C28">
        <v>2017</v>
      </c>
      <c r="D28" t="s">
        <v>50</v>
      </c>
      <c r="E28">
        <v>2747113</v>
      </c>
      <c r="F28">
        <v>2749083</v>
      </c>
      <c r="G28" t="s">
        <v>72</v>
      </c>
      <c r="H28" t="s">
        <v>57</v>
      </c>
      <c r="I28" t="s">
        <v>73</v>
      </c>
      <c r="J28" t="s">
        <v>26</v>
      </c>
      <c r="K28" t="s">
        <v>51</v>
      </c>
      <c r="L28" t="s">
        <v>27</v>
      </c>
      <c r="M28" t="s">
        <v>36</v>
      </c>
      <c r="N28" t="s">
        <v>29</v>
      </c>
      <c r="O28" t="s">
        <v>29</v>
      </c>
      <c r="P28" t="s">
        <v>37</v>
      </c>
      <c r="Q28" t="s">
        <v>54</v>
      </c>
      <c r="R28" t="s">
        <v>77</v>
      </c>
      <c r="S28" t="s">
        <v>31</v>
      </c>
      <c r="T28" t="s">
        <v>32</v>
      </c>
    </row>
    <row r="29" spans="1:20" x14ac:dyDescent="0.2">
      <c r="A29">
        <v>20031</v>
      </c>
      <c r="B29" t="s">
        <v>104</v>
      </c>
      <c r="C29">
        <v>2017</v>
      </c>
      <c r="D29" t="s">
        <v>50</v>
      </c>
      <c r="E29">
        <v>5123100</v>
      </c>
      <c r="F29">
        <v>5123978</v>
      </c>
      <c r="G29" t="s">
        <v>72</v>
      </c>
      <c r="H29" t="s">
        <v>57</v>
      </c>
      <c r="I29" t="s">
        <v>73</v>
      </c>
      <c r="J29" t="s">
        <v>62</v>
      </c>
      <c r="K29" t="s">
        <v>51</v>
      </c>
      <c r="L29" t="s">
        <v>89</v>
      </c>
      <c r="M29" t="s">
        <v>29</v>
      </c>
      <c r="N29" t="s">
        <v>29</v>
      </c>
      <c r="O29" t="s">
        <v>29</v>
      </c>
      <c r="P29" t="s">
        <v>20</v>
      </c>
      <c r="R29" t="s">
        <v>77</v>
      </c>
      <c r="S29" t="s">
        <v>31</v>
      </c>
      <c r="T29" t="s">
        <v>32</v>
      </c>
    </row>
    <row r="30" spans="1:20" x14ac:dyDescent="0.2">
      <c r="A30">
        <v>20032</v>
      </c>
      <c r="B30" t="s">
        <v>85</v>
      </c>
      <c r="C30">
        <v>2017</v>
      </c>
      <c r="D30" t="s">
        <v>50</v>
      </c>
      <c r="E30">
        <v>1946101</v>
      </c>
      <c r="F30">
        <v>1946835</v>
      </c>
      <c r="G30" t="s">
        <v>72</v>
      </c>
      <c r="H30" t="s">
        <v>57</v>
      </c>
      <c r="I30" t="s">
        <v>73</v>
      </c>
      <c r="J30" t="s">
        <v>26</v>
      </c>
      <c r="K30" t="s">
        <v>69</v>
      </c>
      <c r="L30" t="s">
        <v>89</v>
      </c>
      <c r="M30" t="s">
        <v>29</v>
      </c>
      <c r="N30" t="s">
        <v>29</v>
      </c>
      <c r="O30" t="s">
        <v>29</v>
      </c>
      <c r="P30" t="s">
        <v>20</v>
      </c>
      <c r="R30" t="s">
        <v>77</v>
      </c>
      <c r="S30" t="s">
        <v>31</v>
      </c>
      <c r="T30" t="s">
        <v>32</v>
      </c>
    </row>
    <row r="31" spans="1:20" x14ac:dyDescent="0.2">
      <c r="A31">
        <v>20033</v>
      </c>
      <c r="B31" t="s">
        <v>85</v>
      </c>
      <c r="C31">
        <v>2017</v>
      </c>
      <c r="D31" t="s">
        <v>50</v>
      </c>
      <c r="E31">
        <v>3625300</v>
      </c>
      <c r="F31">
        <v>3626886</v>
      </c>
      <c r="G31" t="s">
        <v>72</v>
      </c>
      <c r="H31" t="s">
        <v>57</v>
      </c>
      <c r="I31" t="s">
        <v>73</v>
      </c>
      <c r="J31" t="s">
        <v>35</v>
      </c>
      <c r="K31" t="s">
        <v>26</v>
      </c>
      <c r="L31" t="s">
        <v>27</v>
      </c>
      <c r="M31" t="s">
        <v>36</v>
      </c>
      <c r="N31" t="s">
        <v>36</v>
      </c>
      <c r="O31" t="s">
        <v>36</v>
      </c>
      <c r="P31" t="s">
        <v>20</v>
      </c>
      <c r="R31" t="s">
        <v>77</v>
      </c>
      <c r="S31" t="s">
        <v>31</v>
      </c>
      <c r="T31" t="s">
        <v>32</v>
      </c>
    </row>
    <row r="32" spans="1:20" x14ac:dyDescent="0.2">
      <c r="A32">
        <v>20034</v>
      </c>
      <c r="B32" t="s">
        <v>107</v>
      </c>
      <c r="C32">
        <v>2018</v>
      </c>
      <c r="D32" t="s">
        <v>50</v>
      </c>
      <c r="E32">
        <v>164459</v>
      </c>
      <c r="F32">
        <v>165002</v>
      </c>
      <c r="G32" t="s">
        <v>72</v>
      </c>
      <c r="H32" t="s">
        <v>57</v>
      </c>
      <c r="I32" t="s">
        <v>73</v>
      </c>
      <c r="J32" t="s">
        <v>35</v>
      </c>
      <c r="K32" t="s">
        <v>26</v>
      </c>
      <c r="L32" t="s">
        <v>63</v>
      </c>
      <c r="M32" t="s">
        <v>36</v>
      </c>
      <c r="N32" t="s">
        <v>36</v>
      </c>
      <c r="O32" t="s">
        <v>36</v>
      </c>
      <c r="P32" t="s">
        <v>20</v>
      </c>
      <c r="R32" t="s">
        <v>77</v>
      </c>
      <c r="S32" t="s">
        <v>31</v>
      </c>
      <c r="T32" t="s">
        <v>32</v>
      </c>
    </row>
    <row r="33" spans="1:20" x14ac:dyDescent="0.2">
      <c r="A33">
        <v>20035</v>
      </c>
      <c r="B33" t="s">
        <v>107</v>
      </c>
      <c r="C33">
        <v>2018</v>
      </c>
      <c r="D33" t="s">
        <v>50</v>
      </c>
      <c r="E33">
        <v>1751370</v>
      </c>
      <c r="F33">
        <v>1752333</v>
      </c>
      <c r="G33" t="s">
        <v>72</v>
      </c>
      <c r="H33" t="s">
        <v>57</v>
      </c>
      <c r="I33" t="s">
        <v>109</v>
      </c>
      <c r="J33" t="s">
        <v>69</v>
      </c>
      <c r="K33" t="s">
        <v>51</v>
      </c>
      <c r="L33" t="s">
        <v>89</v>
      </c>
      <c r="M33" t="s">
        <v>53</v>
      </c>
      <c r="N33" t="s">
        <v>53</v>
      </c>
      <c r="O33" t="s">
        <v>53</v>
      </c>
      <c r="P33" t="s">
        <v>20</v>
      </c>
      <c r="R33" t="s">
        <v>46</v>
      </c>
      <c r="S33" t="s">
        <v>31</v>
      </c>
      <c r="T33" t="s">
        <v>32</v>
      </c>
    </row>
    <row r="34" spans="1:20" x14ac:dyDescent="0.2">
      <c r="A34">
        <v>20036</v>
      </c>
      <c r="B34" t="s">
        <v>107</v>
      </c>
      <c r="C34">
        <v>2018</v>
      </c>
      <c r="D34" t="s">
        <v>50</v>
      </c>
      <c r="E34">
        <v>3502810</v>
      </c>
      <c r="F34">
        <v>3503557</v>
      </c>
      <c r="G34" t="s">
        <v>72</v>
      </c>
      <c r="H34" t="s">
        <v>57</v>
      </c>
      <c r="I34" t="s">
        <v>109</v>
      </c>
      <c r="J34" t="s">
        <v>69</v>
      </c>
      <c r="K34" t="s">
        <v>69</v>
      </c>
      <c r="L34" t="s">
        <v>27</v>
      </c>
      <c r="M34" t="s">
        <v>36</v>
      </c>
      <c r="N34" t="s">
        <v>36</v>
      </c>
      <c r="O34" t="s">
        <v>29</v>
      </c>
      <c r="P34" t="s">
        <v>20</v>
      </c>
      <c r="R34" t="s">
        <v>46</v>
      </c>
      <c r="S34" t="s">
        <v>31</v>
      </c>
      <c r="T34" t="s">
        <v>32</v>
      </c>
    </row>
    <row r="35" spans="1:20" x14ac:dyDescent="0.2">
      <c r="A35">
        <v>20037</v>
      </c>
      <c r="B35" t="s">
        <v>107</v>
      </c>
      <c r="C35">
        <v>2018</v>
      </c>
      <c r="D35" t="s">
        <v>50</v>
      </c>
      <c r="E35">
        <v>5730225</v>
      </c>
      <c r="F35">
        <v>5731572</v>
      </c>
      <c r="G35" t="s">
        <v>72</v>
      </c>
      <c r="H35" t="s">
        <v>57</v>
      </c>
      <c r="I35" t="s">
        <v>73</v>
      </c>
      <c r="J35" t="s">
        <v>26</v>
      </c>
      <c r="K35" t="s">
        <v>69</v>
      </c>
      <c r="L35" t="s">
        <v>27</v>
      </c>
      <c r="M35" t="s">
        <v>44</v>
      </c>
      <c r="N35" t="s">
        <v>44</v>
      </c>
      <c r="O35" t="s">
        <v>44</v>
      </c>
      <c r="P35" t="s">
        <v>20</v>
      </c>
      <c r="R35" t="s">
        <v>77</v>
      </c>
      <c r="S35" t="s">
        <v>31</v>
      </c>
      <c r="T35" t="s">
        <v>32</v>
      </c>
    </row>
    <row r="36" spans="1:20" x14ac:dyDescent="0.2">
      <c r="A36">
        <v>20038</v>
      </c>
      <c r="B36" t="s">
        <v>110</v>
      </c>
      <c r="C36">
        <v>2017</v>
      </c>
      <c r="D36" t="s">
        <v>50</v>
      </c>
      <c r="E36">
        <v>2250859</v>
      </c>
      <c r="F36">
        <v>2251618</v>
      </c>
      <c r="G36" t="s">
        <v>72</v>
      </c>
      <c r="H36" t="s">
        <v>57</v>
      </c>
      <c r="I36" t="s">
        <v>73</v>
      </c>
      <c r="J36" t="s">
        <v>26</v>
      </c>
      <c r="K36" t="s">
        <v>51</v>
      </c>
      <c r="L36" t="s">
        <v>89</v>
      </c>
      <c r="M36" t="s">
        <v>36</v>
      </c>
      <c r="N36" t="s">
        <v>36</v>
      </c>
      <c r="O36" t="s">
        <v>29</v>
      </c>
      <c r="P36" t="s">
        <v>37</v>
      </c>
      <c r="Q36" t="s">
        <v>54</v>
      </c>
      <c r="R36" t="s">
        <v>77</v>
      </c>
      <c r="S36" t="s">
        <v>31</v>
      </c>
      <c r="T36" t="s">
        <v>32</v>
      </c>
    </row>
    <row r="37" spans="1:20" x14ac:dyDescent="0.2">
      <c r="A37">
        <v>20039</v>
      </c>
      <c r="B37" t="s">
        <v>49</v>
      </c>
      <c r="C37">
        <v>2017</v>
      </c>
      <c r="D37" t="s">
        <v>50</v>
      </c>
      <c r="E37">
        <v>1082360</v>
      </c>
      <c r="F37">
        <v>1083470</v>
      </c>
      <c r="G37" t="s">
        <v>112</v>
      </c>
      <c r="H37" t="s">
        <v>57</v>
      </c>
      <c r="I37" t="s">
        <v>25</v>
      </c>
      <c r="J37" t="s">
        <v>26</v>
      </c>
      <c r="K37" t="s">
        <v>51</v>
      </c>
      <c r="L37" t="s">
        <v>27</v>
      </c>
      <c r="M37" t="s">
        <v>29</v>
      </c>
      <c r="N37" t="s">
        <v>29</v>
      </c>
      <c r="O37" t="s">
        <v>29</v>
      </c>
      <c r="P37" t="s">
        <v>37</v>
      </c>
      <c r="Q37" t="s">
        <v>114</v>
      </c>
      <c r="R37" t="s">
        <v>30</v>
      </c>
      <c r="S37" t="s">
        <v>31</v>
      </c>
      <c r="T37" t="s">
        <v>32</v>
      </c>
    </row>
    <row r="38" spans="1:20" x14ac:dyDescent="0.2">
      <c r="A38">
        <v>20040</v>
      </c>
      <c r="B38" t="s">
        <v>92</v>
      </c>
      <c r="C38">
        <v>2017</v>
      </c>
      <c r="D38" t="s">
        <v>50</v>
      </c>
      <c r="E38">
        <v>1235904</v>
      </c>
      <c r="F38">
        <v>1237273</v>
      </c>
      <c r="G38" t="s">
        <v>112</v>
      </c>
      <c r="H38" t="s">
        <v>57</v>
      </c>
      <c r="I38" t="s">
        <v>115</v>
      </c>
      <c r="J38" t="s">
        <v>51</v>
      </c>
      <c r="K38" t="s">
        <v>51</v>
      </c>
      <c r="L38" t="s">
        <v>27</v>
      </c>
      <c r="M38" t="s">
        <v>36</v>
      </c>
      <c r="N38" t="s">
        <v>29</v>
      </c>
      <c r="O38" t="s">
        <v>36</v>
      </c>
      <c r="P38" t="s">
        <v>37</v>
      </c>
      <c r="Q38" t="s">
        <v>116</v>
      </c>
      <c r="R38" t="s">
        <v>46</v>
      </c>
      <c r="S38" t="s">
        <v>31</v>
      </c>
      <c r="T38" t="s">
        <v>32</v>
      </c>
    </row>
    <row r="39" spans="1:20" x14ac:dyDescent="0.2">
      <c r="A39">
        <v>20041</v>
      </c>
      <c r="B39" t="s">
        <v>110</v>
      </c>
      <c r="C39">
        <v>2017</v>
      </c>
      <c r="D39" t="s">
        <v>50</v>
      </c>
      <c r="E39">
        <v>2434645</v>
      </c>
      <c r="F39">
        <v>2435838</v>
      </c>
      <c r="G39" t="s">
        <v>112</v>
      </c>
      <c r="H39" t="s">
        <v>57</v>
      </c>
      <c r="I39" t="s">
        <v>25</v>
      </c>
      <c r="J39" t="s">
        <v>51</v>
      </c>
      <c r="K39" t="s">
        <v>69</v>
      </c>
      <c r="L39" t="s">
        <v>27</v>
      </c>
      <c r="M39" t="s">
        <v>53</v>
      </c>
      <c r="N39" t="s">
        <v>29</v>
      </c>
      <c r="O39" t="s">
        <v>29</v>
      </c>
      <c r="P39" t="s">
        <v>20</v>
      </c>
      <c r="R39" t="s">
        <v>46</v>
      </c>
      <c r="S39" t="s">
        <v>31</v>
      </c>
      <c r="T39" t="s">
        <v>32</v>
      </c>
    </row>
    <row r="40" spans="1:20" x14ac:dyDescent="0.2">
      <c r="A40">
        <v>20042</v>
      </c>
      <c r="B40" t="s">
        <v>118</v>
      </c>
      <c r="C40">
        <v>2009</v>
      </c>
      <c r="D40" t="s">
        <v>42</v>
      </c>
      <c r="E40">
        <v>2493425</v>
      </c>
      <c r="F40">
        <v>2493607</v>
      </c>
      <c r="G40" t="s">
        <v>34</v>
      </c>
      <c r="H40" t="s">
        <v>24</v>
      </c>
      <c r="I40" t="s">
        <v>25</v>
      </c>
      <c r="J40" t="s">
        <v>35</v>
      </c>
      <c r="K40" t="s">
        <v>51</v>
      </c>
      <c r="L40" t="s">
        <v>89</v>
      </c>
      <c r="M40" t="s">
        <v>44</v>
      </c>
      <c r="N40" t="s">
        <v>44</v>
      </c>
      <c r="O40" t="s">
        <v>44</v>
      </c>
      <c r="P40" t="s">
        <v>45</v>
      </c>
      <c r="R40" t="s">
        <v>30</v>
      </c>
      <c r="S40" t="s">
        <v>31</v>
      </c>
      <c r="T40" t="s">
        <v>32</v>
      </c>
    </row>
    <row r="41" spans="1:20" x14ac:dyDescent="0.2">
      <c r="A41">
        <v>20043</v>
      </c>
      <c r="B41" t="s">
        <v>118</v>
      </c>
      <c r="C41">
        <v>2009</v>
      </c>
      <c r="D41" t="s">
        <v>42</v>
      </c>
      <c r="E41">
        <v>1090006</v>
      </c>
      <c r="F41">
        <v>1090403</v>
      </c>
      <c r="G41" t="s">
        <v>34</v>
      </c>
      <c r="H41" t="s">
        <v>24</v>
      </c>
      <c r="I41" t="s">
        <v>25</v>
      </c>
      <c r="J41" t="s">
        <v>26</v>
      </c>
      <c r="K41" t="s">
        <v>69</v>
      </c>
      <c r="L41" t="s">
        <v>89</v>
      </c>
      <c r="M41" t="s">
        <v>29</v>
      </c>
      <c r="N41" t="s">
        <v>29</v>
      </c>
      <c r="O41" t="s">
        <v>29</v>
      </c>
      <c r="P41" t="s">
        <v>20</v>
      </c>
      <c r="R41" t="s">
        <v>30</v>
      </c>
      <c r="S41" t="s">
        <v>31</v>
      </c>
      <c r="T41" t="s">
        <v>32</v>
      </c>
    </row>
    <row r="42" spans="1:20" x14ac:dyDescent="0.2">
      <c r="A42">
        <v>20044</v>
      </c>
      <c r="B42" t="s">
        <v>41</v>
      </c>
      <c r="C42">
        <v>2007</v>
      </c>
      <c r="D42" t="s">
        <v>42</v>
      </c>
      <c r="E42">
        <v>3448899</v>
      </c>
      <c r="F42">
        <v>3449194</v>
      </c>
      <c r="G42" t="s">
        <v>34</v>
      </c>
      <c r="H42" t="s">
        <v>24</v>
      </c>
      <c r="I42" t="s">
        <v>25</v>
      </c>
      <c r="J42" t="s">
        <v>26</v>
      </c>
      <c r="K42" t="s">
        <v>26</v>
      </c>
      <c r="L42" t="s">
        <v>27</v>
      </c>
      <c r="M42" t="s">
        <v>44</v>
      </c>
      <c r="N42" t="s">
        <v>44</v>
      </c>
      <c r="O42" t="s">
        <v>44</v>
      </c>
      <c r="P42" t="s">
        <v>45</v>
      </c>
      <c r="R42" t="s">
        <v>77</v>
      </c>
      <c r="S42" t="s">
        <v>31</v>
      </c>
      <c r="T42" t="s">
        <v>32</v>
      </c>
    </row>
    <row r="43" spans="1:20" x14ac:dyDescent="0.2">
      <c r="A43">
        <v>20045</v>
      </c>
      <c r="B43" t="s">
        <v>47</v>
      </c>
      <c r="C43">
        <v>2013</v>
      </c>
      <c r="D43" t="s">
        <v>42</v>
      </c>
      <c r="E43">
        <v>407370</v>
      </c>
      <c r="F43">
        <v>407788</v>
      </c>
      <c r="G43" t="s">
        <v>34</v>
      </c>
      <c r="H43" t="s">
        <v>24</v>
      </c>
      <c r="I43" t="s">
        <v>25</v>
      </c>
      <c r="J43" t="s">
        <v>26</v>
      </c>
      <c r="K43" t="s">
        <v>26</v>
      </c>
      <c r="L43" t="s">
        <v>27</v>
      </c>
      <c r="M43" t="s">
        <v>44</v>
      </c>
      <c r="N43" t="s">
        <v>44</v>
      </c>
      <c r="O43" t="s">
        <v>44</v>
      </c>
      <c r="P43" t="s">
        <v>20</v>
      </c>
      <c r="R43" t="s">
        <v>30</v>
      </c>
      <c r="S43" t="s">
        <v>31</v>
      </c>
      <c r="T43" t="s">
        <v>32</v>
      </c>
    </row>
    <row r="44" spans="1:20" x14ac:dyDescent="0.2">
      <c r="A44">
        <v>20046</v>
      </c>
      <c r="B44" t="s">
        <v>47</v>
      </c>
      <c r="C44">
        <v>2013</v>
      </c>
      <c r="D44" t="s">
        <v>42</v>
      </c>
      <c r="E44">
        <v>2376594</v>
      </c>
      <c r="F44">
        <v>2377024</v>
      </c>
      <c r="G44" t="s">
        <v>34</v>
      </c>
      <c r="H44" t="s">
        <v>24</v>
      </c>
      <c r="I44" t="s">
        <v>25</v>
      </c>
      <c r="J44" t="s">
        <v>26</v>
      </c>
      <c r="K44" t="s">
        <v>62</v>
      </c>
      <c r="L44" t="s">
        <v>27</v>
      </c>
      <c r="M44" t="s">
        <v>44</v>
      </c>
      <c r="N44" t="s">
        <v>44</v>
      </c>
      <c r="O44" t="s">
        <v>44</v>
      </c>
      <c r="P44" t="s">
        <v>45</v>
      </c>
      <c r="R44" t="s">
        <v>30</v>
      </c>
      <c r="S44" t="s">
        <v>31</v>
      </c>
      <c r="T44" t="s">
        <v>32</v>
      </c>
    </row>
    <row r="45" spans="1:20" x14ac:dyDescent="0.2">
      <c r="A45">
        <v>20047</v>
      </c>
      <c r="B45" t="s">
        <v>67</v>
      </c>
      <c r="C45">
        <v>2007</v>
      </c>
      <c r="D45" t="s">
        <v>42</v>
      </c>
      <c r="E45">
        <v>3110960</v>
      </c>
      <c r="F45">
        <v>3111329</v>
      </c>
      <c r="G45" t="s">
        <v>34</v>
      </c>
      <c r="H45" t="s">
        <v>24</v>
      </c>
      <c r="I45" t="s">
        <v>25</v>
      </c>
      <c r="J45" t="s">
        <v>26</v>
      </c>
      <c r="K45" t="s">
        <v>26</v>
      </c>
      <c r="L45" t="s">
        <v>89</v>
      </c>
      <c r="M45" t="s">
        <v>44</v>
      </c>
      <c r="N45" t="s">
        <v>44</v>
      </c>
      <c r="O45" t="s">
        <v>44</v>
      </c>
      <c r="P45" t="s">
        <v>45</v>
      </c>
      <c r="R45" t="s">
        <v>30</v>
      </c>
      <c r="S45" t="s">
        <v>31</v>
      </c>
      <c r="T45" t="s">
        <v>32</v>
      </c>
    </row>
    <row r="46" spans="1:20" x14ac:dyDescent="0.2">
      <c r="A46">
        <v>20048</v>
      </c>
      <c r="B46" t="s">
        <v>81</v>
      </c>
      <c r="C46">
        <v>2017</v>
      </c>
      <c r="D46" t="s">
        <v>50</v>
      </c>
      <c r="E46">
        <v>632565</v>
      </c>
      <c r="F46">
        <v>632801</v>
      </c>
      <c r="G46" t="s">
        <v>34</v>
      </c>
      <c r="H46" t="s">
        <v>24</v>
      </c>
      <c r="I46" t="s">
        <v>25</v>
      </c>
      <c r="J46" t="s">
        <v>35</v>
      </c>
      <c r="K46" t="s">
        <v>51</v>
      </c>
      <c r="L46" t="s">
        <v>89</v>
      </c>
      <c r="M46" t="s">
        <v>53</v>
      </c>
      <c r="N46" t="s">
        <v>53</v>
      </c>
      <c r="O46" t="s">
        <v>53</v>
      </c>
      <c r="P46" t="s">
        <v>20</v>
      </c>
      <c r="R46" t="s">
        <v>30</v>
      </c>
      <c r="S46" t="s">
        <v>31</v>
      </c>
      <c r="T46" t="s">
        <v>32</v>
      </c>
    </row>
    <row r="47" spans="1:20" x14ac:dyDescent="0.2">
      <c r="A47">
        <v>20049</v>
      </c>
      <c r="B47" t="s">
        <v>83</v>
      </c>
      <c r="C47">
        <v>2017</v>
      </c>
      <c r="D47" t="s">
        <v>50</v>
      </c>
      <c r="E47">
        <v>1510714</v>
      </c>
      <c r="F47">
        <v>1510956</v>
      </c>
      <c r="G47" t="s">
        <v>23</v>
      </c>
      <c r="H47" t="s">
        <v>24</v>
      </c>
      <c r="I47" t="s">
        <v>73</v>
      </c>
      <c r="J47" t="s">
        <v>26</v>
      </c>
      <c r="K47" t="s">
        <v>51</v>
      </c>
      <c r="L47" t="s">
        <v>89</v>
      </c>
      <c r="M47" t="s">
        <v>36</v>
      </c>
      <c r="N47" t="s">
        <v>36</v>
      </c>
      <c r="O47" t="s">
        <v>36</v>
      </c>
      <c r="P47" t="s">
        <v>20</v>
      </c>
      <c r="R47" t="s">
        <v>77</v>
      </c>
      <c r="S47" t="s">
        <v>31</v>
      </c>
      <c r="T47" t="s">
        <v>32</v>
      </c>
    </row>
    <row r="48" spans="1:20" x14ac:dyDescent="0.2">
      <c r="A48">
        <v>20050</v>
      </c>
      <c r="B48" t="s">
        <v>83</v>
      </c>
      <c r="C48">
        <v>2017</v>
      </c>
      <c r="D48" t="s">
        <v>50</v>
      </c>
      <c r="E48">
        <v>2644338</v>
      </c>
      <c r="F48">
        <v>2644678</v>
      </c>
      <c r="G48" t="s">
        <v>23</v>
      </c>
      <c r="H48" t="s">
        <v>24</v>
      </c>
      <c r="I48" t="s">
        <v>73</v>
      </c>
      <c r="J48" t="s">
        <v>26</v>
      </c>
      <c r="K48" t="s">
        <v>51</v>
      </c>
      <c r="L48" t="s">
        <v>89</v>
      </c>
      <c r="M48" t="s">
        <v>53</v>
      </c>
      <c r="N48" t="s">
        <v>53</v>
      </c>
      <c r="O48" t="s">
        <v>53</v>
      </c>
      <c r="P48" t="s">
        <v>37</v>
      </c>
      <c r="Q48" t="s">
        <v>54</v>
      </c>
      <c r="R48" t="s">
        <v>77</v>
      </c>
      <c r="S48" t="s">
        <v>31</v>
      </c>
      <c r="T48" t="s">
        <v>32</v>
      </c>
    </row>
    <row r="49" spans="1:20" x14ac:dyDescent="0.2">
      <c r="A49">
        <v>20051</v>
      </c>
      <c r="B49" t="s">
        <v>49</v>
      </c>
      <c r="C49">
        <v>2017</v>
      </c>
      <c r="D49" t="s">
        <v>50</v>
      </c>
      <c r="E49">
        <v>2369459</v>
      </c>
      <c r="F49">
        <v>2369902</v>
      </c>
      <c r="G49" t="s">
        <v>23</v>
      </c>
      <c r="H49" t="s">
        <v>24</v>
      </c>
      <c r="I49" t="s">
        <v>109</v>
      </c>
      <c r="J49" t="s">
        <v>51</v>
      </c>
      <c r="K49" t="s">
        <v>51</v>
      </c>
      <c r="L49" t="s">
        <v>27</v>
      </c>
      <c r="M49" t="s">
        <v>53</v>
      </c>
      <c r="N49" t="s">
        <v>53</v>
      </c>
      <c r="O49" t="s">
        <v>53</v>
      </c>
      <c r="P49" t="s">
        <v>37</v>
      </c>
      <c r="Q49" t="s">
        <v>54</v>
      </c>
      <c r="R49" t="s">
        <v>46</v>
      </c>
      <c r="S49" t="s">
        <v>31</v>
      </c>
      <c r="T49" t="s">
        <v>32</v>
      </c>
    </row>
    <row r="50" spans="1:20" x14ac:dyDescent="0.2">
      <c r="A50">
        <v>20052</v>
      </c>
      <c r="B50" t="s">
        <v>107</v>
      </c>
      <c r="C50">
        <v>2018</v>
      </c>
      <c r="D50" t="s">
        <v>50</v>
      </c>
      <c r="E50">
        <v>1276013</v>
      </c>
      <c r="F50">
        <v>1276427</v>
      </c>
      <c r="G50" t="s">
        <v>23</v>
      </c>
      <c r="H50" t="s">
        <v>24</v>
      </c>
      <c r="I50" t="s">
        <v>73</v>
      </c>
      <c r="J50" t="s">
        <v>62</v>
      </c>
      <c r="K50" t="s">
        <v>69</v>
      </c>
      <c r="L50" t="s">
        <v>27</v>
      </c>
      <c r="M50" t="s">
        <v>29</v>
      </c>
      <c r="N50" t="s">
        <v>29</v>
      </c>
      <c r="O50" t="s">
        <v>29</v>
      </c>
      <c r="P50" t="s">
        <v>20</v>
      </c>
      <c r="R50" t="s">
        <v>77</v>
      </c>
      <c r="S50" t="s">
        <v>31</v>
      </c>
      <c r="T50" t="s">
        <v>32</v>
      </c>
    </row>
    <row r="51" spans="1:20" x14ac:dyDescent="0.2">
      <c r="A51">
        <v>20053</v>
      </c>
      <c r="B51" t="s">
        <v>71</v>
      </c>
      <c r="C51">
        <v>2009</v>
      </c>
      <c r="D51" t="s">
        <v>22</v>
      </c>
      <c r="E51">
        <v>2473701</v>
      </c>
      <c r="F51">
        <v>2474212</v>
      </c>
      <c r="G51" t="s">
        <v>23</v>
      </c>
      <c r="H51" t="s">
        <v>24</v>
      </c>
      <c r="I51" t="s">
        <v>73</v>
      </c>
      <c r="J51" t="s">
        <v>35</v>
      </c>
      <c r="K51" t="s">
        <v>69</v>
      </c>
      <c r="L51" t="s">
        <v>89</v>
      </c>
      <c r="M51" t="s">
        <v>36</v>
      </c>
      <c r="N51" t="s">
        <v>36</v>
      </c>
      <c r="O51" t="s">
        <v>29</v>
      </c>
      <c r="P51" t="s">
        <v>37</v>
      </c>
      <c r="Q51" t="s">
        <v>124</v>
      </c>
      <c r="R51" t="s">
        <v>30</v>
      </c>
      <c r="S51" t="s">
        <v>31</v>
      </c>
      <c r="T51" t="s">
        <v>32</v>
      </c>
    </row>
    <row r="52" spans="1:20" x14ac:dyDescent="0.2">
      <c r="A52">
        <v>20054</v>
      </c>
      <c r="B52" t="s">
        <v>71</v>
      </c>
      <c r="C52">
        <v>2009</v>
      </c>
      <c r="D52" t="s">
        <v>22</v>
      </c>
      <c r="E52">
        <v>3190778</v>
      </c>
      <c r="F52">
        <v>3191305</v>
      </c>
      <c r="G52" t="s">
        <v>23</v>
      </c>
      <c r="H52" t="s">
        <v>24</v>
      </c>
      <c r="I52" t="s">
        <v>73</v>
      </c>
      <c r="J52" t="s">
        <v>62</v>
      </c>
      <c r="K52" t="s">
        <v>62</v>
      </c>
      <c r="L52" t="s">
        <v>27</v>
      </c>
      <c r="M52" t="s">
        <v>36</v>
      </c>
      <c r="N52" t="s">
        <v>36</v>
      </c>
      <c r="O52" t="s">
        <v>29</v>
      </c>
      <c r="P52" t="s">
        <v>37</v>
      </c>
      <c r="Q52" t="s">
        <v>66</v>
      </c>
      <c r="R52" t="s">
        <v>77</v>
      </c>
      <c r="S52" t="s">
        <v>31</v>
      </c>
      <c r="T52" t="s">
        <v>32</v>
      </c>
    </row>
    <row r="53" spans="1:20" x14ac:dyDescent="0.2">
      <c r="A53">
        <v>20055</v>
      </c>
      <c r="B53" t="s">
        <v>125</v>
      </c>
      <c r="C53">
        <v>2007</v>
      </c>
      <c r="D53" t="s">
        <v>22</v>
      </c>
      <c r="E53">
        <v>3686876</v>
      </c>
      <c r="F53">
        <v>3687508</v>
      </c>
      <c r="G53" t="s">
        <v>23</v>
      </c>
      <c r="H53" t="s">
        <v>24</v>
      </c>
      <c r="I53" t="s">
        <v>73</v>
      </c>
      <c r="J53" t="s">
        <v>26</v>
      </c>
      <c r="K53" t="s">
        <v>26</v>
      </c>
      <c r="L53" t="s">
        <v>89</v>
      </c>
      <c r="M53" t="s">
        <v>44</v>
      </c>
      <c r="N53" t="s">
        <v>44</v>
      </c>
      <c r="O53" t="s">
        <v>44</v>
      </c>
      <c r="P53" t="s">
        <v>45</v>
      </c>
      <c r="R53" t="s">
        <v>77</v>
      </c>
      <c r="S53" t="s">
        <v>31</v>
      </c>
      <c r="T53" t="s">
        <v>32</v>
      </c>
    </row>
    <row r="54" spans="1:20" x14ac:dyDescent="0.2">
      <c r="A54">
        <v>20056</v>
      </c>
      <c r="B54" t="s">
        <v>125</v>
      </c>
      <c r="C54">
        <v>2007</v>
      </c>
      <c r="D54" t="s">
        <v>22</v>
      </c>
      <c r="E54">
        <v>3767115</v>
      </c>
      <c r="F54">
        <v>3767526</v>
      </c>
      <c r="G54" t="s">
        <v>23</v>
      </c>
      <c r="H54" t="s">
        <v>24</v>
      </c>
      <c r="I54" t="s">
        <v>73</v>
      </c>
      <c r="J54" t="s">
        <v>26</v>
      </c>
      <c r="K54" t="s">
        <v>69</v>
      </c>
      <c r="L54" t="s">
        <v>27</v>
      </c>
      <c r="M54" t="s">
        <v>29</v>
      </c>
      <c r="N54" t="s">
        <v>29</v>
      </c>
      <c r="O54" t="s">
        <v>29</v>
      </c>
      <c r="P54" t="s">
        <v>37</v>
      </c>
      <c r="Q54" t="s">
        <v>127</v>
      </c>
      <c r="R54" t="s">
        <v>77</v>
      </c>
      <c r="S54" t="s">
        <v>31</v>
      </c>
      <c r="T54" t="s">
        <v>32</v>
      </c>
    </row>
    <row r="55" spans="1:20" x14ac:dyDescent="0.2">
      <c r="A55">
        <v>20057</v>
      </c>
      <c r="B55" t="s">
        <v>128</v>
      </c>
      <c r="C55">
        <v>2008</v>
      </c>
      <c r="D55" t="s">
        <v>22</v>
      </c>
      <c r="E55">
        <v>2117423</v>
      </c>
      <c r="F55">
        <v>2118621</v>
      </c>
      <c r="G55" t="s">
        <v>23</v>
      </c>
      <c r="H55" t="s">
        <v>24</v>
      </c>
      <c r="I55" t="s">
        <v>73</v>
      </c>
      <c r="J55" t="s">
        <v>62</v>
      </c>
      <c r="K55" t="s">
        <v>62</v>
      </c>
      <c r="L55" t="s">
        <v>27</v>
      </c>
      <c r="M55" t="s">
        <v>44</v>
      </c>
      <c r="N55" t="s">
        <v>44</v>
      </c>
      <c r="O55" t="s">
        <v>44</v>
      </c>
      <c r="P55" t="s">
        <v>45</v>
      </c>
      <c r="R55" t="s">
        <v>77</v>
      </c>
      <c r="S55" t="s">
        <v>31</v>
      </c>
      <c r="T55" t="s">
        <v>32</v>
      </c>
    </row>
    <row r="56" spans="1:20" x14ac:dyDescent="0.2">
      <c r="A56">
        <v>20058</v>
      </c>
      <c r="B56" t="s">
        <v>128</v>
      </c>
      <c r="C56">
        <v>2008</v>
      </c>
      <c r="D56" t="s">
        <v>22</v>
      </c>
      <c r="E56">
        <v>2150738</v>
      </c>
      <c r="F56">
        <v>2152087</v>
      </c>
      <c r="G56" t="s">
        <v>23</v>
      </c>
      <c r="H56" t="s">
        <v>24</v>
      </c>
      <c r="I56" t="s">
        <v>73</v>
      </c>
      <c r="J56" t="s">
        <v>26</v>
      </c>
      <c r="K56" t="s">
        <v>26</v>
      </c>
      <c r="L56" t="s">
        <v>27</v>
      </c>
      <c r="M56" t="s">
        <v>36</v>
      </c>
      <c r="N56" t="s">
        <v>36</v>
      </c>
      <c r="O56" t="s">
        <v>36</v>
      </c>
      <c r="P56" t="s">
        <v>20</v>
      </c>
      <c r="R56" t="s">
        <v>77</v>
      </c>
      <c r="S56" t="s">
        <v>31</v>
      </c>
      <c r="T56" t="s">
        <v>32</v>
      </c>
    </row>
    <row r="57" spans="1:20" x14ac:dyDescent="0.2">
      <c r="A57">
        <v>20059</v>
      </c>
      <c r="B57" t="s">
        <v>128</v>
      </c>
      <c r="C57">
        <v>2008</v>
      </c>
      <c r="D57" t="s">
        <v>22</v>
      </c>
      <c r="E57">
        <v>2186614</v>
      </c>
      <c r="F57">
        <v>2187425</v>
      </c>
      <c r="G57" t="s">
        <v>23</v>
      </c>
      <c r="H57" t="s">
        <v>24</v>
      </c>
      <c r="I57" t="s">
        <v>73</v>
      </c>
      <c r="J57" t="s">
        <v>26</v>
      </c>
      <c r="K57" t="s">
        <v>26</v>
      </c>
      <c r="L57" t="s">
        <v>27</v>
      </c>
      <c r="M57" t="s">
        <v>36</v>
      </c>
      <c r="N57" t="s">
        <v>36</v>
      </c>
      <c r="O57" t="s">
        <v>36</v>
      </c>
      <c r="P57" t="s">
        <v>20</v>
      </c>
      <c r="R57" t="s">
        <v>77</v>
      </c>
      <c r="S57" t="s">
        <v>31</v>
      </c>
      <c r="T57" t="s">
        <v>32</v>
      </c>
    </row>
    <row r="58" spans="1:20" x14ac:dyDescent="0.2">
      <c r="A58">
        <v>20060</v>
      </c>
      <c r="B58" t="s">
        <v>128</v>
      </c>
      <c r="C58">
        <v>2008</v>
      </c>
      <c r="D58" t="s">
        <v>22</v>
      </c>
      <c r="E58">
        <v>2193049</v>
      </c>
      <c r="F58">
        <v>2193358</v>
      </c>
      <c r="G58" t="s">
        <v>23</v>
      </c>
      <c r="H58" t="s">
        <v>24</v>
      </c>
      <c r="I58" t="s">
        <v>73</v>
      </c>
      <c r="J58" t="s">
        <v>26</v>
      </c>
      <c r="K58" t="s">
        <v>26</v>
      </c>
      <c r="L58" t="s">
        <v>27</v>
      </c>
      <c r="M58" t="s">
        <v>36</v>
      </c>
      <c r="N58" t="s">
        <v>36</v>
      </c>
      <c r="O58" t="s">
        <v>36</v>
      </c>
      <c r="P58" t="s">
        <v>37</v>
      </c>
      <c r="Q58" t="s">
        <v>130</v>
      </c>
      <c r="R58" t="s">
        <v>30</v>
      </c>
      <c r="S58" t="s">
        <v>31</v>
      </c>
      <c r="T58" t="s">
        <v>32</v>
      </c>
    </row>
    <row r="59" spans="1:20" x14ac:dyDescent="0.2">
      <c r="A59">
        <v>20061</v>
      </c>
      <c r="B59" t="s">
        <v>128</v>
      </c>
      <c r="C59">
        <v>2008</v>
      </c>
      <c r="D59" t="s">
        <v>22</v>
      </c>
      <c r="E59">
        <v>2200969</v>
      </c>
      <c r="F59">
        <v>2201749</v>
      </c>
      <c r="G59" t="s">
        <v>23</v>
      </c>
      <c r="H59" t="s">
        <v>24</v>
      </c>
      <c r="I59" t="s">
        <v>73</v>
      </c>
      <c r="J59" t="s">
        <v>26</v>
      </c>
      <c r="K59" t="s">
        <v>26</v>
      </c>
      <c r="L59" t="s">
        <v>27</v>
      </c>
      <c r="M59" t="s">
        <v>29</v>
      </c>
      <c r="N59" t="s">
        <v>29</v>
      </c>
      <c r="O59" t="s">
        <v>29</v>
      </c>
      <c r="P59" t="s">
        <v>37</v>
      </c>
      <c r="Q59" t="s">
        <v>40</v>
      </c>
      <c r="R59" t="s">
        <v>77</v>
      </c>
      <c r="S59" t="s">
        <v>31</v>
      </c>
      <c r="T59" t="s">
        <v>32</v>
      </c>
    </row>
    <row r="60" spans="1:20" x14ac:dyDescent="0.2">
      <c r="A60">
        <v>20062</v>
      </c>
      <c r="B60" t="s">
        <v>128</v>
      </c>
      <c r="C60">
        <v>2008</v>
      </c>
      <c r="D60" t="s">
        <v>22</v>
      </c>
      <c r="E60">
        <v>2209183</v>
      </c>
      <c r="F60">
        <v>2209714</v>
      </c>
      <c r="G60" t="s">
        <v>23</v>
      </c>
      <c r="H60" t="s">
        <v>24</v>
      </c>
      <c r="I60" t="s">
        <v>73</v>
      </c>
      <c r="J60" t="s">
        <v>26</v>
      </c>
      <c r="K60" t="s">
        <v>26</v>
      </c>
      <c r="L60" t="s">
        <v>27</v>
      </c>
      <c r="M60" t="s">
        <v>29</v>
      </c>
      <c r="N60" t="s">
        <v>36</v>
      </c>
      <c r="O60" t="s">
        <v>29</v>
      </c>
      <c r="P60" t="s">
        <v>37</v>
      </c>
      <c r="Q60" t="s">
        <v>40</v>
      </c>
      <c r="R60" t="s">
        <v>30</v>
      </c>
      <c r="S60" t="s">
        <v>31</v>
      </c>
      <c r="T60" t="s">
        <v>32</v>
      </c>
    </row>
    <row r="61" spans="1:20" x14ac:dyDescent="0.2">
      <c r="A61">
        <v>20063</v>
      </c>
      <c r="B61" t="s">
        <v>131</v>
      </c>
      <c r="C61">
        <v>2008</v>
      </c>
      <c r="D61" t="s">
        <v>22</v>
      </c>
      <c r="E61">
        <v>2561553</v>
      </c>
      <c r="F61">
        <v>2562688</v>
      </c>
      <c r="G61" t="s">
        <v>23</v>
      </c>
      <c r="H61" t="s">
        <v>24</v>
      </c>
      <c r="I61" t="s">
        <v>73</v>
      </c>
      <c r="J61" t="s">
        <v>26</v>
      </c>
      <c r="K61" t="s">
        <v>26</v>
      </c>
      <c r="L61" t="s">
        <v>27</v>
      </c>
      <c r="M61" t="s">
        <v>36</v>
      </c>
      <c r="N61" t="s">
        <v>29</v>
      </c>
      <c r="O61" t="s">
        <v>29</v>
      </c>
      <c r="P61" t="s">
        <v>20</v>
      </c>
      <c r="R61" t="s">
        <v>77</v>
      </c>
      <c r="S61" t="s">
        <v>31</v>
      </c>
      <c r="T61" t="s">
        <v>32</v>
      </c>
    </row>
    <row r="62" spans="1:20" x14ac:dyDescent="0.2">
      <c r="A62">
        <v>20064</v>
      </c>
      <c r="B62" t="s">
        <v>131</v>
      </c>
      <c r="C62">
        <v>2008</v>
      </c>
      <c r="D62" t="s">
        <v>22</v>
      </c>
      <c r="E62">
        <v>3387973</v>
      </c>
      <c r="F62">
        <v>3388321</v>
      </c>
      <c r="G62" t="s">
        <v>23</v>
      </c>
      <c r="H62" t="s">
        <v>24</v>
      </c>
      <c r="I62" t="s">
        <v>73</v>
      </c>
      <c r="J62" t="s">
        <v>35</v>
      </c>
      <c r="K62" t="s">
        <v>26</v>
      </c>
      <c r="L62" t="s">
        <v>89</v>
      </c>
      <c r="M62" t="s">
        <v>29</v>
      </c>
      <c r="N62" t="s">
        <v>29</v>
      </c>
      <c r="O62" t="s">
        <v>29</v>
      </c>
      <c r="P62" t="s">
        <v>45</v>
      </c>
      <c r="R62" t="s">
        <v>77</v>
      </c>
      <c r="S62" t="s">
        <v>31</v>
      </c>
      <c r="T62" t="s">
        <v>32</v>
      </c>
    </row>
    <row r="63" spans="1:20" x14ac:dyDescent="0.2">
      <c r="A63">
        <v>20065</v>
      </c>
      <c r="B63" t="s">
        <v>131</v>
      </c>
      <c r="C63">
        <v>2008</v>
      </c>
      <c r="D63" t="s">
        <v>22</v>
      </c>
      <c r="E63">
        <v>3393667</v>
      </c>
      <c r="F63">
        <v>3393993</v>
      </c>
      <c r="G63" t="s">
        <v>23</v>
      </c>
      <c r="H63" t="s">
        <v>24</v>
      </c>
      <c r="I63" t="s">
        <v>73</v>
      </c>
      <c r="J63" t="s">
        <v>26</v>
      </c>
      <c r="K63" t="s">
        <v>26</v>
      </c>
      <c r="L63" t="s">
        <v>89</v>
      </c>
      <c r="M63" t="s">
        <v>29</v>
      </c>
      <c r="N63" t="s">
        <v>29</v>
      </c>
      <c r="O63" t="s">
        <v>29</v>
      </c>
      <c r="P63" t="s">
        <v>20</v>
      </c>
      <c r="R63" t="s">
        <v>77</v>
      </c>
      <c r="S63" t="s">
        <v>31</v>
      </c>
      <c r="T63" t="s">
        <v>32</v>
      </c>
    </row>
    <row r="64" spans="1:20" x14ac:dyDescent="0.2">
      <c r="A64">
        <v>20066</v>
      </c>
      <c r="B64" t="s">
        <v>131</v>
      </c>
      <c r="C64">
        <v>2008</v>
      </c>
      <c r="D64" t="s">
        <v>22</v>
      </c>
      <c r="E64">
        <v>3416948</v>
      </c>
      <c r="F64">
        <v>3417297</v>
      </c>
      <c r="G64" t="s">
        <v>23</v>
      </c>
      <c r="H64" t="s">
        <v>24</v>
      </c>
      <c r="I64" t="s">
        <v>73</v>
      </c>
      <c r="J64" t="s">
        <v>26</v>
      </c>
      <c r="K64" t="s">
        <v>69</v>
      </c>
      <c r="L64" t="s">
        <v>27</v>
      </c>
      <c r="M64" t="s">
        <v>29</v>
      </c>
      <c r="N64" t="s">
        <v>29</v>
      </c>
      <c r="O64" t="s">
        <v>29</v>
      </c>
      <c r="P64" t="s">
        <v>20</v>
      </c>
      <c r="R64" t="s">
        <v>77</v>
      </c>
      <c r="S64" t="s">
        <v>31</v>
      </c>
      <c r="T64" t="s">
        <v>32</v>
      </c>
    </row>
    <row r="65" spans="1:20" x14ac:dyDescent="0.2">
      <c r="A65">
        <v>20067</v>
      </c>
      <c r="B65" t="s">
        <v>61</v>
      </c>
      <c r="C65">
        <v>2007</v>
      </c>
      <c r="D65" t="s">
        <v>42</v>
      </c>
      <c r="E65">
        <v>1247834</v>
      </c>
      <c r="F65">
        <v>1248340</v>
      </c>
      <c r="G65" t="s">
        <v>23</v>
      </c>
      <c r="H65" t="s">
        <v>24</v>
      </c>
      <c r="I65" t="s">
        <v>73</v>
      </c>
      <c r="J65" t="s">
        <v>26</v>
      </c>
      <c r="K65" t="s">
        <v>26</v>
      </c>
      <c r="L65" t="s">
        <v>27</v>
      </c>
      <c r="M65" t="s">
        <v>29</v>
      </c>
      <c r="N65" t="s">
        <v>36</v>
      </c>
      <c r="O65" t="s">
        <v>29</v>
      </c>
      <c r="P65" t="s">
        <v>45</v>
      </c>
      <c r="R65" t="s">
        <v>77</v>
      </c>
      <c r="S65" t="s">
        <v>31</v>
      </c>
      <c r="T65" t="s">
        <v>32</v>
      </c>
    </row>
    <row r="66" spans="1:20" x14ac:dyDescent="0.2">
      <c r="A66">
        <v>20068</v>
      </c>
      <c r="B66" t="s">
        <v>118</v>
      </c>
      <c r="C66">
        <v>2009</v>
      </c>
      <c r="D66" t="s">
        <v>42</v>
      </c>
      <c r="E66">
        <v>2719833</v>
      </c>
      <c r="F66">
        <v>2720424</v>
      </c>
      <c r="G66" t="s">
        <v>23</v>
      </c>
      <c r="H66" t="s">
        <v>24</v>
      </c>
      <c r="I66" t="s">
        <v>73</v>
      </c>
      <c r="J66" t="s">
        <v>26</v>
      </c>
      <c r="K66" t="s">
        <v>69</v>
      </c>
      <c r="L66" t="s">
        <v>63</v>
      </c>
      <c r="M66" t="s">
        <v>44</v>
      </c>
      <c r="N66" t="s">
        <v>44</v>
      </c>
      <c r="O66" t="s">
        <v>44</v>
      </c>
      <c r="P66" t="s">
        <v>45</v>
      </c>
      <c r="R66" t="s">
        <v>77</v>
      </c>
      <c r="S66" t="s">
        <v>31</v>
      </c>
      <c r="T66" t="s">
        <v>32</v>
      </c>
    </row>
    <row r="67" spans="1:20" x14ac:dyDescent="0.2">
      <c r="A67">
        <v>20069</v>
      </c>
      <c r="B67" t="s">
        <v>88</v>
      </c>
      <c r="C67">
        <v>2017</v>
      </c>
      <c r="D67" t="s">
        <v>50</v>
      </c>
      <c r="E67">
        <v>729425</v>
      </c>
      <c r="F67">
        <v>729744</v>
      </c>
      <c r="G67" t="s">
        <v>23</v>
      </c>
      <c r="H67" t="s">
        <v>24</v>
      </c>
      <c r="I67" t="s">
        <v>73</v>
      </c>
      <c r="J67" t="s">
        <v>26</v>
      </c>
      <c r="K67" t="s">
        <v>51</v>
      </c>
      <c r="L67" t="s">
        <v>89</v>
      </c>
      <c r="M67" t="s">
        <v>29</v>
      </c>
      <c r="N67" t="s">
        <v>29</v>
      </c>
      <c r="O67" t="s">
        <v>29</v>
      </c>
      <c r="P67" t="s">
        <v>20</v>
      </c>
      <c r="R67" t="s">
        <v>77</v>
      </c>
      <c r="S67" t="s">
        <v>31</v>
      </c>
      <c r="T67" t="s">
        <v>32</v>
      </c>
    </row>
    <row r="68" spans="1:20" x14ac:dyDescent="0.2">
      <c r="A68">
        <v>20070</v>
      </c>
      <c r="B68" t="s">
        <v>21</v>
      </c>
      <c r="C68">
        <v>2007</v>
      </c>
      <c r="D68" t="s">
        <v>22</v>
      </c>
      <c r="E68">
        <v>1138979</v>
      </c>
      <c r="F68">
        <v>1139479</v>
      </c>
      <c r="G68" t="s">
        <v>23</v>
      </c>
      <c r="H68" t="s">
        <v>24</v>
      </c>
      <c r="I68" t="s">
        <v>109</v>
      </c>
      <c r="J68" t="s">
        <v>26</v>
      </c>
      <c r="K68" t="s">
        <v>26</v>
      </c>
      <c r="L68" t="s">
        <v>27</v>
      </c>
      <c r="M68" t="s">
        <v>29</v>
      </c>
      <c r="N68" t="s">
        <v>29</v>
      </c>
      <c r="O68" t="s">
        <v>29</v>
      </c>
      <c r="P68" t="s">
        <v>20</v>
      </c>
      <c r="R68" t="s">
        <v>30</v>
      </c>
      <c r="S68" t="s">
        <v>31</v>
      </c>
      <c r="T68" t="s">
        <v>32</v>
      </c>
    </row>
    <row r="69" spans="1:20" x14ac:dyDescent="0.2">
      <c r="A69">
        <v>20071</v>
      </c>
      <c r="B69" t="s">
        <v>21</v>
      </c>
      <c r="C69">
        <v>2007</v>
      </c>
      <c r="D69" t="s">
        <v>22</v>
      </c>
      <c r="E69">
        <v>1459963</v>
      </c>
      <c r="F69">
        <v>1460805</v>
      </c>
      <c r="G69" t="s">
        <v>23</v>
      </c>
      <c r="H69" t="s">
        <v>24</v>
      </c>
      <c r="I69" t="s">
        <v>109</v>
      </c>
      <c r="J69" t="s">
        <v>26</v>
      </c>
      <c r="K69" t="s">
        <v>26</v>
      </c>
      <c r="L69" t="s">
        <v>27</v>
      </c>
      <c r="M69" t="s">
        <v>29</v>
      </c>
      <c r="N69" t="s">
        <v>29</v>
      </c>
      <c r="O69" t="s">
        <v>29</v>
      </c>
      <c r="P69" t="s">
        <v>37</v>
      </c>
      <c r="Q69" t="s">
        <v>124</v>
      </c>
      <c r="R69" t="s">
        <v>30</v>
      </c>
      <c r="S69" t="s">
        <v>31</v>
      </c>
      <c r="T69" t="s">
        <v>32</v>
      </c>
    </row>
    <row r="70" spans="1:20" x14ac:dyDescent="0.2">
      <c r="A70">
        <v>20072</v>
      </c>
      <c r="B70" t="s">
        <v>61</v>
      </c>
      <c r="C70">
        <v>2007</v>
      </c>
      <c r="D70" t="s">
        <v>42</v>
      </c>
      <c r="E70">
        <v>172167</v>
      </c>
      <c r="F70">
        <v>172503</v>
      </c>
      <c r="G70" t="s">
        <v>23</v>
      </c>
      <c r="H70" t="s">
        <v>24</v>
      </c>
      <c r="I70" t="s">
        <v>109</v>
      </c>
      <c r="J70" t="s">
        <v>26</v>
      </c>
      <c r="K70" t="s">
        <v>26</v>
      </c>
      <c r="L70" t="s">
        <v>27</v>
      </c>
      <c r="M70" t="s">
        <v>44</v>
      </c>
      <c r="N70" t="s">
        <v>44</v>
      </c>
      <c r="O70" t="s">
        <v>44</v>
      </c>
      <c r="P70" t="s">
        <v>45</v>
      </c>
      <c r="R70" t="s">
        <v>30</v>
      </c>
      <c r="S70" t="s">
        <v>31</v>
      </c>
      <c r="T70" t="s">
        <v>32</v>
      </c>
    </row>
    <row r="71" spans="1:20" x14ac:dyDescent="0.2">
      <c r="A71">
        <v>20073</v>
      </c>
      <c r="B71" t="s">
        <v>61</v>
      </c>
      <c r="C71">
        <v>2007</v>
      </c>
      <c r="D71" t="s">
        <v>42</v>
      </c>
      <c r="E71">
        <v>1121197</v>
      </c>
      <c r="F71">
        <v>1122252</v>
      </c>
      <c r="G71" t="s">
        <v>23</v>
      </c>
      <c r="H71" t="s">
        <v>24</v>
      </c>
      <c r="I71" t="s">
        <v>109</v>
      </c>
      <c r="J71" t="s">
        <v>26</v>
      </c>
      <c r="K71" t="s">
        <v>26</v>
      </c>
      <c r="L71" t="s">
        <v>89</v>
      </c>
      <c r="M71" t="s">
        <v>29</v>
      </c>
      <c r="N71" t="s">
        <v>29</v>
      </c>
      <c r="O71" t="s">
        <v>29</v>
      </c>
      <c r="P71" t="s">
        <v>45</v>
      </c>
      <c r="R71" t="s">
        <v>30</v>
      </c>
      <c r="S71" t="s">
        <v>31</v>
      </c>
      <c r="T71" t="s">
        <v>32</v>
      </c>
    </row>
    <row r="72" spans="1:20" x14ac:dyDescent="0.2">
      <c r="A72">
        <v>20074</v>
      </c>
      <c r="B72" t="s">
        <v>61</v>
      </c>
      <c r="C72">
        <v>2007</v>
      </c>
      <c r="D72" t="s">
        <v>42</v>
      </c>
      <c r="E72">
        <v>1204656</v>
      </c>
      <c r="F72">
        <v>1205754</v>
      </c>
      <c r="G72" t="s">
        <v>23</v>
      </c>
      <c r="H72" t="s">
        <v>24</v>
      </c>
      <c r="I72" t="s">
        <v>109</v>
      </c>
      <c r="J72" t="s">
        <v>26</v>
      </c>
      <c r="K72" t="s">
        <v>69</v>
      </c>
      <c r="L72" t="s">
        <v>89</v>
      </c>
      <c r="M72" t="s">
        <v>29</v>
      </c>
      <c r="N72" t="s">
        <v>29</v>
      </c>
      <c r="O72" t="s">
        <v>29</v>
      </c>
      <c r="P72" t="s">
        <v>45</v>
      </c>
      <c r="R72" t="s">
        <v>30</v>
      </c>
      <c r="S72" t="s">
        <v>31</v>
      </c>
      <c r="T72" t="s">
        <v>32</v>
      </c>
    </row>
    <row r="73" spans="1:20" x14ac:dyDescent="0.2">
      <c r="A73">
        <v>20075</v>
      </c>
      <c r="B73" t="s">
        <v>131</v>
      </c>
      <c r="C73">
        <v>2008</v>
      </c>
      <c r="D73" t="s">
        <v>22</v>
      </c>
      <c r="E73">
        <v>1964643</v>
      </c>
      <c r="F73">
        <v>1964764</v>
      </c>
      <c r="G73" t="s">
        <v>23</v>
      </c>
      <c r="H73" t="s">
        <v>24</v>
      </c>
      <c r="I73" t="s">
        <v>25</v>
      </c>
      <c r="J73" t="s">
        <v>26</v>
      </c>
      <c r="K73" t="s">
        <v>26</v>
      </c>
      <c r="L73" t="s">
        <v>27</v>
      </c>
      <c r="M73" t="s">
        <v>36</v>
      </c>
      <c r="N73" t="s">
        <v>36</v>
      </c>
      <c r="O73" t="s">
        <v>29</v>
      </c>
      <c r="P73" t="s">
        <v>37</v>
      </c>
      <c r="Q73" t="s">
        <v>127</v>
      </c>
      <c r="R73" t="s">
        <v>30</v>
      </c>
      <c r="S73" t="s">
        <v>31</v>
      </c>
      <c r="T73" t="s">
        <v>32</v>
      </c>
    </row>
    <row r="74" spans="1:20" x14ac:dyDescent="0.2">
      <c r="A74">
        <v>20076</v>
      </c>
      <c r="B74" t="s">
        <v>21</v>
      </c>
      <c r="C74">
        <v>2007</v>
      </c>
      <c r="D74" t="s">
        <v>22</v>
      </c>
      <c r="E74">
        <v>1196517</v>
      </c>
      <c r="F74">
        <v>1196719</v>
      </c>
      <c r="G74" t="s">
        <v>23</v>
      </c>
      <c r="H74" t="s">
        <v>24</v>
      </c>
      <c r="I74" t="s">
        <v>25</v>
      </c>
      <c r="J74" t="s">
        <v>26</v>
      </c>
      <c r="K74" t="s">
        <v>26</v>
      </c>
      <c r="L74" t="s">
        <v>27</v>
      </c>
      <c r="M74" t="s">
        <v>53</v>
      </c>
      <c r="N74" t="s">
        <v>53</v>
      </c>
      <c r="O74" t="s">
        <v>29</v>
      </c>
      <c r="P74" t="s">
        <v>20</v>
      </c>
      <c r="R74" t="s">
        <v>30</v>
      </c>
      <c r="S74" t="s">
        <v>31</v>
      </c>
      <c r="T74" t="s">
        <v>32</v>
      </c>
    </row>
    <row r="75" spans="1:20" x14ac:dyDescent="0.2">
      <c r="A75">
        <v>20077</v>
      </c>
      <c r="B75" t="s">
        <v>131</v>
      </c>
      <c r="C75">
        <v>2008</v>
      </c>
      <c r="D75" t="s">
        <v>22</v>
      </c>
      <c r="E75">
        <v>1525029</v>
      </c>
      <c r="F75">
        <v>1525883</v>
      </c>
      <c r="G75" t="s">
        <v>23</v>
      </c>
      <c r="H75" t="s">
        <v>24</v>
      </c>
      <c r="I75" t="s">
        <v>25</v>
      </c>
      <c r="J75" t="s">
        <v>26</v>
      </c>
      <c r="K75" t="s">
        <v>62</v>
      </c>
      <c r="L75" t="s">
        <v>63</v>
      </c>
      <c r="M75" t="s">
        <v>29</v>
      </c>
      <c r="N75" t="s">
        <v>29</v>
      </c>
      <c r="O75" t="s">
        <v>29</v>
      </c>
      <c r="P75" t="s">
        <v>20</v>
      </c>
      <c r="R75" t="s">
        <v>46</v>
      </c>
      <c r="S75" t="s">
        <v>31</v>
      </c>
      <c r="T75" t="s">
        <v>32</v>
      </c>
    </row>
    <row r="76" spans="1:20" x14ac:dyDescent="0.2">
      <c r="A76">
        <v>20078</v>
      </c>
      <c r="B76" t="s">
        <v>104</v>
      </c>
      <c r="C76">
        <v>2017</v>
      </c>
      <c r="D76" t="s">
        <v>50</v>
      </c>
      <c r="E76">
        <v>3763806</v>
      </c>
      <c r="F76">
        <v>3764091</v>
      </c>
      <c r="G76" t="s">
        <v>23</v>
      </c>
      <c r="H76" t="s">
        <v>24</v>
      </c>
      <c r="I76" t="s">
        <v>25</v>
      </c>
      <c r="J76" t="s">
        <v>26</v>
      </c>
      <c r="K76" t="s">
        <v>62</v>
      </c>
      <c r="L76" t="s">
        <v>27</v>
      </c>
      <c r="M76" t="s">
        <v>29</v>
      </c>
      <c r="N76" t="s">
        <v>29</v>
      </c>
      <c r="O76" t="s">
        <v>29</v>
      </c>
      <c r="P76" t="s">
        <v>37</v>
      </c>
      <c r="Q76" t="s">
        <v>116</v>
      </c>
      <c r="R76" t="s">
        <v>30</v>
      </c>
      <c r="S76" t="s">
        <v>31</v>
      </c>
      <c r="T76" t="s">
        <v>32</v>
      </c>
    </row>
    <row r="77" spans="1:20" x14ac:dyDescent="0.2">
      <c r="A77">
        <v>20079</v>
      </c>
      <c r="B77" t="s">
        <v>61</v>
      </c>
      <c r="C77">
        <v>2007</v>
      </c>
      <c r="D77" t="s">
        <v>42</v>
      </c>
      <c r="E77">
        <v>274566</v>
      </c>
      <c r="F77">
        <v>274787</v>
      </c>
      <c r="G77" t="s">
        <v>23</v>
      </c>
      <c r="H77" t="s">
        <v>24</v>
      </c>
      <c r="I77" t="s">
        <v>25</v>
      </c>
      <c r="J77" t="s">
        <v>26</v>
      </c>
      <c r="K77" t="s">
        <v>26</v>
      </c>
      <c r="L77" t="s">
        <v>27</v>
      </c>
      <c r="M77" t="s">
        <v>44</v>
      </c>
      <c r="N77" t="s">
        <v>36</v>
      </c>
      <c r="O77" t="s">
        <v>36</v>
      </c>
      <c r="P77" t="s">
        <v>45</v>
      </c>
      <c r="R77" t="s">
        <v>30</v>
      </c>
      <c r="S77" t="s">
        <v>31</v>
      </c>
      <c r="T77" t="s">
        <v>32</v>
      </c>
    </row>
    <row r="78" spans="1:20" x14ac:dyDescent="0.2">
      <c r="A78">
        <v>20080</v>
      </c>
      <c r="B78" t="s">
        <v>21</v>
      </c>
      <c r="C78">
        <v>2007</v>
      </c>
      <c r="D78" t="s">
        <v>22</v>
      </c>
      <c r="E78">
        <v>1399522</v>
      </c>
      <c r="F78">
        <v>1400756</v>
      </c>
      <c r="G78" t="s">
        <v>23</v>
      </c>
      <c r="H78" t="s">
        <v>24</v>
      </c>
      <c r="I78" t="s">
        <v>109</v>
      </c>
      <c r="J78" t="s">
        <v>26</v>
      </c>
      <c r="K78" t="s">
        <v>26</v>
      </c>
      <c r="L78" t="s">
        <v>27</v>
      </c>
      <c r="M78" t="s">
        <v>29</v>
      </c>
      <c r="N78" t="s">
        <v>29</v>
      </c>
      <c r="O78" t="s">
        <v>29</v>
      </c>
      <c r="P78" t="s">
        <v>20</v>
      </c>
      <c r="R78" t="s">
        <v>46</v>
      </c>
      <c r="S78" t="s">
        <v>31</v>
      </c>
      <c r="T78" t="s">
        <v>32</v>
      </c>
    </row>
    <row r="79" spans="1:20" x14ac:dyDescent="0.2">
      <c r="A79">
        <v>20081</v>
      </c>
      <c r="B79" t="s">
        <v>61</v>
      </c>
      <c r="C79">
        <v>2007</v>
      </c>
      <c r="D79" t="s">
        <v>42</v>
      </c>
      <c r="E79">
        <v>613487</v>
      </c>
      <c r="F79">
        <v>613900</v>
      </c>
      <c r="G79" t="s">
        <v>23</v>
      </c>
      <c r="H79" t="s">
        <v>24</v>
      </c>
      <c r="I79" t="s">
        <v>109</v>
      </c>
      <c r="J79" t="s">
        <v>26</v>
      </c>
      <c r="K79" t="s">
        <v>26</v>
      </c>
      <c r="L79" t="s">
        <v>27</v>
      </c>
      <c r="M79" t="s">
        <v>29</v>
      </c>
      <c r="N79" t="s">
        <v>44</v>
      </c>
      <c r="O79" t="s">
        <v>44</v>
      </c>
      <c r="P79" t="s">
        <v>45</v>
      </c>
      <c r="R79" t="s">
        <v>30</v>
      </c>
      <c r="S79" t="s">
        <v>31</v>
      </c>
      <c r="T79" t="s">
        <v>32</v>
      </c>
    </row>
    <row r="80" spans="1:20" x14ac:dyDescent="0.2">
      <c r="A80">
        <v>20082</v>
      </c>
      <c r="B80" t="s">
        <v>41</v>
      </c>
      <c r="C80">
        <v>2007</v>
      </c>
      <c r="D80" t="s">
        <v>42</v>
      </c>
      <c r="E80">
        <v>246459</v>
      </c>
      <c r="F80">
        <v>246803</v>
      </c>
      <c r="G80" t="s">
        <v>23</v>
      </c>
      <c r="H80" t="s">
        <v>24</v>
      </c>
      <c r="I80" t="s">
        <v>25</v>
      </c>
      <c r="J80" t="s">
        <v>26</v>
      </c>
      <c r="K80" t="s">
        <v>62</v>
      </c>
      <c r="L80" t="s">
        <v>89</v>
      </c>
      <c r="M80" t="s">
        <v>44</v>
      </c>
      <c r="N80" t="s">
        <v>44</v>
      </c>
      <c r="O80" t="s">
        <v>44</v>
      </c>
      <c r="P80" t="s">
        <v>45</v>
      </c>
      <c r="R80" t="s">
        <v>30</v>
      </c>
      <c r="S80" t="s">
        <v>31</v>
      </c>
      <c r="T80" t="s">
        <v>32</v>
      </c>
    </row>
    <row r="81" spans="1:20" x14ac:dyDescent="0.2">
      <c r="A81">
        <v>20083</v>
      </c>
      <c r="B81" t="s">
        <v>41</v>
      </c>
      <c r="C81">
        <v>2007</v>
      </c>
      <c r="D81" t="s">
        <v>42</v>
      </c>
      <c r="E81">
        <v>372579</v>
      </c>
      <c r="F81">
        <v>372675</v>
      </c>
      <c r="G81" t="s">
        <v>23</v>
      </c>
      <c r="H81" t="s">
        <v>24</v>
      </c>
      <c r="I81" t="s">
        <v>25</v>
      </c>
      <c r="J81" t="s">
        <v>26</v>
      </c>
      <c r="K81" t="s">
        <v>26</v>
      </c>
      <c r="L81" t="s">
        <v>27</v>
      </c>
      <c r="M81" t="s">
        <v>44</v>
      </c>
      <c r="N81" t="s">
        <v>44</v>
      </c>
      <c r="O81" t="s">
        <v>44</v>
      </c>
      <c r="P81" t="s">
        <v>45</v>
      </c>
      <c r="R81" t="s">
        <v>30</v>
      </c>
      <c r="S81" t="s">
        <v>31</v>
      </c>
      <c r="T81" t="s">
        <v>98</v>
      </c>
    </row>
    <row r="82" spans="1:20" x14ac:dyDescent="0.2">
      <c r="A82">
        <v>20085</v>
      </c>
      <c r="B82" t="s">
        <v>139</v>
      </c>
      <c r="C82">
        <v>2008</v>
      </c>
      <c r="D82" t="s">
        <v>22</v>
      </c>
      <c r="E82">
        <v>2714222</v>
      </c>
      <c r="F82">
        <v>2714293</v>
      </c>
      <c r="G82" t="s">
        <v>23</v>
      </c>
      <c r="H82" t="s">
        <v>24</v>
      </c>
      <c r="I82" t="s">
        <v>25</v>
      </c>
      <c r="J82" t="s">
        <v>35</v>
      </c>
      <c r="K82" t="s">
        <v>51</v>
      </c>
      <c r="L82" t="s">
        <v>27</v>
      </c>
      <c r="M82" t="s">
        <v>29</v>
      </c>
      <c r="N82" t="s">
        <v>29</v>
      </c>
      <c r="O82" t="s">
        <v>29</v>
      </c>
      <c r="P82" t="s">
        <v>20</v>
      </c>
      <c r="R82" t="s">
        <v>30</v>
      </c>
      <c r="S82" t="s">
        <v>31</v>
      </c>
      <c r="T82" t="s">
        <v>32</v>
      </c>
    </row>
    <row r="83" spans="1:20" x14ac:dyDescent="0.2">
      <c r="A83">
        <v>20086</v>
      </c>
      <c r="B83" t="s">
        <v>71</v>
      </c>
      <c r="C83">
        <v>2009</v>
      </c>
      <c r="D83" t="s">
        <v>22</v>
      </c>
      <c r="E83">
        <v>2841234</v>
      </c>
      <c r="F83">
        <v>2841548</v>
      </c>
      <c r="G83" t="s">
        <v>23</v>
      </c>
      <c r="H83" t="s">
        <v>24</v>
      </c>
      <c r="I83" t="s">
        <v>25</v>
      </c>
      <c r="J83" t="s">
        <v>26</v>
      </c>
      <c r="K83" t="s">
        <v>26</v>
      </c>
      <c r="L83" t="s">
        <v>27</v>
      </c>
      <c r="M83" t="s">
        <v>29</v>
      </c>
      <c r="N83" t="s">
        <v>29</v>
      </c>
      <c r="O83" t="s">
        <v>29</v>
      </c>
      <c r="P83" t="s">
        <v>37</v>
      </c>
      <c r="Q83" t="s">
        <v>141</v>
      </c>
      <c r="R83" t="s">
        <v>30</v>
      </c>
      <c r="S83" t="s">
        <v>31</v>
      </c>
      <c r="T83" t="s">
        <v>32</v>
      </c>
    </row>
    <row r="84" spans="1:20" x14ac:dyDescent="0.2">
      <c r="A84">
        <v>20087</v>
      </c>
      <c r="B84" t="s">
        <v>92</v>
      </c>
      <c r="C84">
        <v>2017</v>
      </c>
      <c r="D84" t="s">
        <v>50</v>
      </c>
      <c r="E84">
        <v>1221628</v>
      </c>
      <c r="F84">
        <v>1221743</v>
      </c>
      <c r="G84" t="s">
        <v>23</v>
      </c>
      <c r="H84" t="s">
        <v>24</v>
      </c>
      <c r="I84" t="s">
        <v>25</v>
      </c>
      <c r="J84" t="s">
        <v>26</v>
      </c>
      <c r="K84" t="s">
        <v>26</v>
      </c>
      <c r="L84" t="s">
        <v>27</v>
      </c>
      <c r="M84" t="s">
        <v>29</v>
      </c>
      <c r="N84" t="s">
        <v>29</v>
      </c>
      <c r="O84" t="s">
        <v>29</v>
      </c>
      <c r="P84" t="s">
        <v>37</v>
      </c>
      <c r="Q84" t="s">
        <v>142</v>
      </c>
      <c r="R84" t="s">
        <v>30</v>
      </c>
      <c r="S84" t="s">
        <v>31</v>
      </c>
      <c r="T84" t="s">
        <v>32</v>
      </c>
    </row>
    <row r="85" spans="1:20" x14ac:dyDescent="0.2">
      <c r="A85">
        <v>20088</v>
      </c>
      <c r="B85" t="s">
        <v>71</v>
      </c>
      <c r="C85">
        <v>2009</v>
      </c>
      <c r="D85" t="s">
        <v>22</v>
      </c>
      <c r="E85">
        <v>1113083</v>
      </c>
      <c r="F85">
        <v>1113769</v>
      </c>
      <c r="G85" t="s">
        <v>23</v>
      </c>
      <c r="H85" t="s">
        <v>24</v>
      </c>
      <c r="I85" t="s">
        <v>25</v>
      </c>
      <c r="J85" t="s">
        <v>26</v>
      </c>
      <c r="K85" t="s">
        <v>26</v>
      </c>
      <c r="L85" t="s">
        <v>27</v>
      </c>
      <c r="M85" t="s">
        <v>53</v>
      </c>
      <c r="N85" t="s">
        <v>53</v>
      </c>
      <c r="O85" t="s">
        <v>53</v>
      </c>
      <c r="P85" t="s">
        <v>20</v>
      </c>
      <c r="R85" t="s">
        <v>30</v>
      </c>
      <c r="S85" t="s">
        <v>31</v>
      </c>
      <c r="T85" t="s">
        <v>32</v>
      </c>
    </row>
    <row r="86" spans="1:20" x14ac:dyDescent="0.2">
      <c r="A86">
        <v>20089</v>
      </c>
      <c r="B86" t="s">
        <v>41</v>
      </c>
      <c r="C86">
        <v>2007</v>
      </c>
      <c r="D86" t="s">
        <v>42</v>
      </c>
      <c r="E86">
        <v>633438</v>
      </c>
      <c r="F86">
        <v>633807</v>
      </c>
      <c r="G86" t="s">
        <v>23</v>
      </c>
      <c r="H86" t="s">
        <v>24</v>
      </c>
      <c r="I86" t="s">
        <v>109</v>
      </c>
      <c r="J86" t="s">
        <v>26</v>
      </c>
      <c r="K86" t="s">
        <v>26</v>
      </c>
      <c r="L86" t="s">
        <v>27</v>
      </c>
      <c r="M86" t="s">
        <v>44</v>
      </c>
      <c r="N86" t="s">
        <v>44</v>
      </c>
      <c r="O86" t="s">
        <v>44</v>
      </c>
      <c r="P86" t="s">
        <v>20</v>
      </c>
      <c r="R86" t="s">
        <v>30</v>
      </c>
      <c r="S86" t="s">
        <v>31</v>
      </c>
      <c r="T86" t="s">
        <v>32</v>
      </c>
    </row>
    <row r="87" spans="1:20" x14ac:dyDescent="0.2">
      <c r="A87">
        <v>20090</v>
      </c>
      <c r="B87" t="s">
        <v>92</v>
      </c>
      <c r="C87">
        <v>2017</v>
      </c>
      <c r="D87" t="s">
        <v>50</v>
      </c>
      <c r="E87">
        <v>1219031</v>
      </c>
      <c r="F87">
        <v>1221390</v>
      </c>
      <c r="G87" t="s">
        <v>112</v>
      </c>
      <c r="H87" t="s">
        <v>57</v>
      </c>
      <c r="I87" t="s">
        <v>25</v>
      </c>
      <c r="J87" t="s">
        <v>26</v>
      </c>
      <c r="K87" t="s">
        <v>26</v>
      </c>
      <c r="L87" t="s">
        <v>27</v>
      </c>
      <c r="M87" t="s">
        <v>29</v>
      </c>
      <c r="N87" t="s">
        <v>29</v>
      </c>
      <c r="O87" t="s">
        <v>29</v>
      </c>
      <c r="P87" t="s">
        <v>37</v>
      </c>
      <c r="Q87" t="s">
        <v>127</v>
      </c>
      <c r="R87" t="s">
        <v>46</v>
      </c>
      <c r="S87" t="s">
        <v>31</v>
      </c>
      <c r="T87" t="s">
        <v>32</v>
      </c>
    </row>
    <row r="88" spans="1:20" x14ac:dyDescent="0.2">
      <c r="A88">
        <v>40001</v>
      </c>
      <c r="B88" t="s">
        <v>49</v>
      </c>
      <c r="C88">
        <v>2017</v>
      </c>
      <c r="D88" t="s">
        <v>50</v>
      </c>
      <c r="E88">
        <v>1107245</v>
      </c>
      <c r="F88">
        <v>1107442</v>
      </c>
      <c r="G88" t="s">
        <v>23</v>
      </c>
      <c r="H88" t="s">
        <v>24</v>
      </c>
      <c r="I88" t="s">
        <v>25</v>
      </c>
      <c r="J88" t="s">
        <v>35</v>
      </c>
      <c r="K88" t="s">
        <v>51</v>
      </c>
      <c r="L88" t="s">
        <v>89</v>
      </c>
      <c r="M88" t="s">
        <v>36</v>
      </c>
      <c r="N88" t="s">
        <v>36</v>
      </c>
      <c r="O88" t="s">
        <v>36</v>
      </c>
      <c r="P88" t="s">
        <v>20</v>
      </c>
      <c r="R88" t="s">
        <v>144</v>
      </c>
      <c r="S88" t="s">
        <v>31</v>
      </c>
      <c r="T88" t="s">
        <v>32</v>
      </c>
    </row>
    <row r="89" spans="1:20" x14ac:dyDescent="0.2">
      <c r="A89">
        <v>40002</v>
      </c>
      <c r="B89" t="s">
        <v>47</v>
      </c>
      <c r="C89">
        <v>2013</v>
      </c>
      <c r="D89" t="s">
        <v>42</v>
      </c>
      <c r="E89">
        <v>2163549</v>
      </c>
      <c r="F89">
        <v>2166364</v>
      </c>
      <c r="G89" t="s">
        <v>23</v>
      </c>
      <c r="H89" t="s">
        <v>24</v>
      </c>
      <c r="I89" t="s">
        <v>25</v>
      </c>
      <c r="J89" t="s">
        <v>26</v>
      </c>
      <c r="K89" t="s">
        <v>69</v>
      </c>
      <c r="L89" t="s">
        <v>63</v>
      </c>
      <c r="M89" t="s">
        <v>44</v>
      </c>
      <c r="N89" t="s">
        <v>44</v>
      </c>
      <c r="O89" t="s">
        <v>147</v>
      </c>
      <c r="P89" t="s">
        <v>20</v>
      </c>
      <c r="R89" t="s">
        <v>144</v>
      </c>
      <c r="S89" t="s">
        <v>31</v>
      </c>
      <c r="T89" t="s">
        <v>80</v>
      </c>
    </row>
    <row r="90" spans="1:20" x14ac:dyDescent="0.2">
      <c r="A90">
        <v>40003</v>
      </c>
      <c r="B90" t="s">
        <v>128</v>
      </c>
      <c r="C90">
        <v>2008</v>
      </c>
      <c r="D90" t="s">
        <v>22</v>
      </c>
      <c r="E90">
        <v>2219858</v>
      </c>
      <c r="F90">
        <v>2220185</v>
      </c>
      <c r="G90" t="s">
        <v>23</v>
      </c>
      <c r="H90" t="s">
        <v>24</v>
      </c>
      <c r="I90" t="s">
        <v>109</v>
      </c>
      <c r="J90" t="s">
        <v>26</v>
      </c>
      <c r="K90" t="s">
        <v>26</v>
      </c>
      <c r="L90" t="s">
        <v>27</v>
      </c>
      <c r="M90" t="s">
        <v>29</v>
      </c>
      <c r="N90" t="s">
        <v>29</v>
      </c>
      <c r="O90" t="s">
        <v>36</v>
      </c>
      <c r="P90" t="s">
        <v>37</v>
      </c>
      <c r="Q90" t="s">
        <v>148</v>
      </c>
      <c r="R90" t="s">
        <v>46</v>
      </c>
      <c r="S90" t="s">
        <v>31</v>
      </c>
      <c r="T90" t="s">
        <v>32</v>
      </c>
    </row>
    <row r="91" spans="1:20" x14ac:dyDescent="0.2">
      <c r="A91">
        <v>40004</v>
      </c>
      <c r="B91" t="s">
        <v>99</v>
      </c>
      <c r="C91">
        <v>2017</v>
      </c>
      <c r="D91" t="s">
        <v>50</v>
      </c>
      <c r="E91">
        <v>3767620</v>
      </c>
      <c r="F91">
        <v>3768190</v>
      </c>
      <c r="G91" t="s">
        <v>23</v>
      </c>
      <c r="H91" t="s">
        <v>24</v>
      </c>
      <c r="I91" t="s">
        <v>109</v>
      </c>
      <c r="J91" t="s">
        <v>51</v>
      </c>
      <c r="K91" t="s">
        <v>51</v>
      </c>
      <c r="L91" t="s">
        <v>63</v>
      </c>
      <c r="M91" t="s">
        <v>29</v>
      </c>
      <c r="N91" t="s">
        <v>29</v>
      </c>
      <c r="O91" t="s">
        <v>29</v>
      </c>
      <c r="P91" t="s">
        <v>20</v>
      </c>
      <c r="R91" t="s">
        <v>46</v>
      </c>
      <c r="S91" t="s">
        <v>31</v>
      </c>
      <c r="T91" t="s">
        <v>32</v>
      </c>
    </row>
    <row r="92" spans="1:20" x14ac:dyDescent="0.2">
      <c r="A92">
        <v>40005</v>
      </c>
      <c r="B92" t="s">
        <v>83</v>
      </c>
      <c r="C92">
        <v>2017</v>
      </c>
      <c r="D92" t="s">
        <v>50</v>
      </c>
      <c r="E92">
        <v>2142735</v>
      </c>
      <c r="F92">
        <v>2143564</v>
      </c>
      <c r="G92" t="s">
        <v>23</v>
      </c>
      <c r="H92" t="s">
        <v>24</v>
      </c>
      <c r="I92" t="s">
        <v>115</v>
      </c>
      <c r="J92" t="s">
        <v>62</v>
      </c>
      <c r="K92" t="s">
        <v>62</v>
      </c>
      <c r="L92" t="s">
        <v>89</v>
      </c>
      <c r="M92" t="s">
        <v>53</v>
      </c>
      <c r="N92" t="s">
        <v>53</v>
      </c>
      <c r="O92" t="s">
        <v>53</v>
      </c>
      <c r="P92" t="s">
        <v>20</v>
      </c>
      <c r="R92" t="s">
        <v>46</v>
      </c>
      <c r="S92" t="s">
        <v>149</v>
      </c>
      <c r="T92" t="s">
        <v>32</v>
      </c>
    </row>
    <row r="93" spans="1:20" x14ac:dyDescent="0.2">
      <c r="A93">
        <v>40006</v>
      </c>
      <c r="B93" t="s">
        <v>125</v>
      </c>
      <c r="C93">
        <v>2007</v>
      </c>
      <c r="D93" t="s">
        <v>22</v>
      </c>
      <c r="E93">
        <v>6632086</v>
      </c>
      <c r="F93">
        <v>6633701</v>
      </c>
      <c r="G93" t="s">
        <v>23</v>
      </c>
      <c r="H93" t="s">
        <v>24</v>
      </c>
      <c r="I93" t="s">
        <v>73</v>
      </c>
      <c r="J93" t="s">
        <v>35</v>
      </c>
      <c r="K93" t="s">
        <v>26</v>
      </c>
      <c r="L93" t="s">
        <v>89</v>
      </c>
      <c r="M93" t="s">
        <v>29</v>
      </c>
      <c r="N93" t="s">
        <v>36</v>
      </c>
      <c r="O93" t="s">
        <v>36</v>
      </c>
      <c r="P93" t="s">
        <v>20</v>
      </c>
      <c r="R93" t="s">
        <v>77</v>
      </c>
      <c r="S93" t="s">
        <v>31</v>
      </c>
      <c r="T93" t="s">
        <v>32</v>
      </c>
    </row>
    <row r="94" spans="1:20" x14ac:dyDescent="0.2">
      <c r="A94">
        <v>40007</v>
      </c>
      <c r="B94" t="s">
        <v>128</v>
      </c>
      <c r="C94">
        <v>2008</v>
      </c>
      <c r="D94" t="s">
        <v>22</v>
      </c>
      <c r="E94">
        <v>2373669</v>
      </c>
      <c r="F94">
        <v>2374267</v>
      </c>
      <c r="G94" t="s">
        <v>23</v>
      </c>
      <c r="H94" t="s">
        <v>24</v>
      </c>
      <c r="I94" t="s">
        <v>73</v>
      </c>
      <c r="J94" t="s">
        <v>26</v>
      </c>
      <c r="K94" t="s">
        <v>26</v>
      </c>
      <c r="L94" t="s">
        <v>27</v>
      </c>
      <c r="M94" t="s">
        <v>44</v>
      </c>
      <c r="N94" t="s">
        <v>44</v>
      </c>
      <c r="O94" t="s">
        <v>36</v>
      </c>
      <c r="P94" t="s">
        <v>20</v>
      </c>
      <c r="R94" t="s">
        <v>77</v>
      </c>
      <c r="S94" t="s">
        <v>31</v>
      </c>
      <c r="T94" t="s">
        <v>32</v>
      </c>
    </row>
    <row r="95" spans="1:20" x14ac:dyDescent="0.2">
      <c r="A95">
        <v>40008</v>
      </c>
      <c r="B95" t="s">
        <v>128</v>
      </c>
      <c r="C95">
        <v>2008</v>
      </c>
      <c r="D95" t="s">
        <v>22</v>
      </c>
      <c r="E95">
        <v>3170756</v>
      </c>
      <c r="F95">
        <v>3171291</v>
      </c>
      <c r="G95" t="s">
        <v>23</v>
      </c>
      <c r="H95" t="s">
        <v>24</v>
      </c>
      <c r="I95" t="s">
        <v>73</v>
      </c>
      <c r="J95" t="s">
        <v>35</v>
      </c>
      <c r="K95" t="s">
        <v>26</v>
      </c>
      <c r="L95" t="s">
        <v>27</v>
      </c>
      <c r="M95" t="s">
        <v>44</v>
      </c>
      <c r="N95" t="s">
        <v>44</v>
      </c>
      <c r="O95" t="s">
        <v>36</v>
      </c>
      <c r="P95" t="s">
        <v>20</v>
      </c>
      <c r="R95" t="s">
        <v>77</v>
      </c>
      <c r="S95" t="s">
        <v>31</v>
      </c>
      <c r="T95" t="s">
        <v>32</v>
      </c>
    </row>
    <row r="96" spans="1:20" x14ac:dyDescent="0.2">
      <c r="A96">
        <v>40009</v>
      </c>
      <c r="B96" t="s">
        <v>128</v>
      </c>
      <c r="C96">
        <v>2008</v>
      </c>
      <c r="D96" t="s">
        <v>22</v>
      </c>
      <c r="E96">
        <v>3342283</v>
      </c>
      <c r="F96">
        <v>3342765</v>
      </c>
      <c r="G96" t="s">
        <v>23</v>
      </c>
      <c r="H96" t="s">
        <v>24</v>
      </c>
      <c r="I96" t="s">
        <v>109</v>
      </c>
      <c r="J96" t="s">
        <v>69</v>
      </c>
      <c r="K96" t="s">
        <v>62</v>
      </c>
      <c r="L96" t="s">
        <v>27</v>
      </c>
      <c r="M96" t="s">
        <v>44</v>
      </c>
      <c r="N96" t="s">
        <v>44</v>
      </c>
      <c r="O96" t="s">
        <v>147</v>
      </c>
      <c r="P96" t="s">
        <v>20</v>
      </c>
      <c r="R96" t="s">
        <v>46</v>
      </c>
      <c r="S96" t="s">
        <v>31</v>
      </c>
      <c r="T96" t="s">
        <v>32</v>
      </c>
    </row>
    <row r="97" spans="1:20" x14ac:dyDescent="0.2">
      <c r="A97">
        <v>40010</v>
      </c>
      <c r="B97" t="s">
        <v>41</v>
      </c>
      <c r="C97">
        <v>2007</v>
      </c>
      <c r="D97" t="s">
        <v>42</v>
      </c>
      <c r="E97">
        <v>1931702</v>
      </c>
      <c r="F97">
        <v>1932470</v>
      </c>
      <c r="G97" t="s">
        <v>23</v>
      </c>
      <c r="H97" t="s">
        <v>24</v>
      </c>
      <c r="I97" t="s">
        <v>73</v>
      </c>
      <c r="J97" t="s">
        <v>26</v>
      </c>
      <c r="K97" t="s">
        <v>26</v>
      </c>
      <c r="L97" t="s">
        <v>27</v>
      </c>
      <c r="M97" t="s">
        <v>44</v>
      </c>
      <c r="N97" t="s">
        <v>44</v>
      </c>
      <c r="O97" t="s">
        <v>147</v>
      </c>
      <c r="P97" t="s">
        <v>20</v>
      </c>
      <c r="R97" t="s">
        <v>77</v>
      </c>
      <c r="S97" t="s">
        <v>31</v>
      </c>
      <c r="T97" t="s">
        <v>32</v>
      </c>
    </row>
    <row r="98" spans="1:20" x14ac:dyDescent="0.2">
      <c r="A98">
        <v>40011</v>
      </c>
      <c r="B98" t="s">
        <v>154</v>
      </c>
      <c r="C98">
        <v>2017</v>
      </c>
      <c r="D98" t="s">
        <v>50</v>
      </c>
      <c r="E98">
        <v>633762</v>
      </c>
      <c r="F98">
        <v>634106</v>
      </c>
      <c r="G98" t="s">
        <v>23</v>
      </c>
      <c r="H98" t="s">
        <v>24</v>
      </c>
      <c r="I98" t="s">
        <v>73</v>
      </c>
      <c r="J98" t="s">
        <v>26</v>
      </c>
      <c r="K98" t="s">
        <v>69</v>
      </c>
      <c r="L98" t="s">
        <v>63</v>
      </c>
      <c r="M98" t="s">
        <v>53</v>
      </c>
      <c r="N98" t="s">
        <v>53</v>
      </c>
      <c r="O98" t="s">
        <v>53</v>
      </c>
      <c r="P98" t="s">
        <v>20</v>
      </c>
      <c r="R98" t="s">
        <v>77</v>
      </c>
      <c r="S98" t="s">
        <v>31</v>
      </c>
      <c r="T98" t="s">
        <v>32</v>
      </c>
    </row>
    <row r="99" spans="1:20" x14ac:dyDescent="0.2">
      <c r="A99">
        <v>40012</v>
      </c>
      <c r="B99" t="s">
        <v>99</v>
      </c>
      <c r="C99">
        <v>2017</v>
      </c>
      <c r="D99" t="s">
        <v>50</v>
      </c>
      <c r="E99">
        <v>1988420</v>
      </c>
      <c r="F99">
        <v>1988946</v>
      </c>
      <c r="G99" t="s">
        <v>23</v>
      </c>
      <c r="H99" t="s">
        <v>24</v>
      </c>
      <c r="I99" t="s">
        <v>73</v>
      </c>
      <c r="J99" t="s">
        <v>35</v>
      </c>
      <c r="K99" t="s">
        <v>51</v>
      </c>
      <c r="L99" t="s">
        <v>89</v>
      </c>
      <c r="M99" t="s">
        <v>53</v>
      </c>
      <c r="N99" t="s">
        <v>53</v>
      </c>
      <c r="O99" t="s">
        <v>53</v>
      </c>
      <c r="P99" t="s">
        <v>20</v>
      </c>
      <c r="R99" t="s">
        <v>77</v>
      </c>
      <c r="S99" t="s">
        <v>31</v>
      </c>
      <c r="T99" t="s">
        <v>32</v>
      </c>
    </row>
    <row r="100" spans="1:20" x14ac:dyDescent="0.2">
      <c r="A100">
        <v>40013</v>
      </c>
      <c r="B100" t="s">
        <v>21</v>
      </c>
      <c r="C100">
        <v>2007</v>
      </c>
      <c r="D100" t="s">
        <v>22</v>
      </c>
      <c r="E100">
        <v>629169</v>
      </c>
      <c r="F100">
        <v>629696</v>
      </c>
      <c r="G100" t="s">
        <v>23</v>
      </c>
      <c r="H100" t="s">
        <v>24</v>
      </c>
      <c r="I100" t="s">
        <v>109</v>
      </c>
      <c r="J100" t="s">
        <v>26</v>
      </c>
      <c r="K100" t="s">
        <v>26</v>
      </c>
      <c r="L100" t="s">
        <v>27</v>
      </c>
      <c r="M100" t="s">
        <v>29</v>
      </c>
      <c r="N100" t="s">
        <v>29</v>
      </c>
      <c r="O100" t="s">
        <v>29</v>
      </c>
      <c r="P100" t="s">
        <v>20</v>
      </c>
      <c r="R100" t="s">
        <v>144</v>
      </c>
      <c r="S100" t="s">
        <v>31</v>
      </c>
      <c r="T100" t="s">
        <v>32</v>
      </c>
    </row>
    <row r="101" spans="1:20" x14ac:dyDescent="0.2">
      <c r="A101">
        <v>40014</v>
      </c>
      <c r="B101" t="s">
        <v>21</v>
      </c>
      <c r="C101">
        <v>2007</v>
      </c>
      <c r="D101" t="s">
        <v>22</v>
      </c>
      <c r="E101">
        <v>996133</v>
      </c>
      <c r="F101">
        <v>996703</v>
      </c>
      <c r="G101" t="s">
        <v>23</v>
      </c>
      <c r="H101" t="s">
        <v>24</v>
      </c>
      <c r="I101" t="s">
        <v>109</v>
      </c>
      <c r="J101" t="s">
        <v>26</v>
      </c>
      <c r="K101" t="s">
        <v>26</v>
      </c>
      <c r="L101" t="s">
        <v>27</v>
      </c>
      <c r="M101" t="s">
        <v>29</v>
      </c>
      <c r="N101" t="s">
        <v>29</v>
      </c>
      <c r="O101" t="s">
        <v>53</v>
      </c>
      <c r="P101" t="s">
        <v>20</v>
      </c>
      <c r="R101" t="s">
        <v>77</v>
      </c>
      <c r="S101" t="s">
        <v>31</v>
      </c>
      <c r="T101" t="s">
        <v>32</v>
      </c>
    </row>
    <row r="102" spans="1:20" x14ac:dyDescent="0.2">
      <c r="A102">
        <v>40015</v>
      </c>
      <c r="B102" t="s">
        <v>21</v>
      </c>
      <c r="C102">
        <v>2007</v>
      </c>
      <c r="D102" t="s">
        <v>22</v>
      </c>
      <c r="E102">
        <v>205518</v>
      </c>
      <c r="F102">
        <v>205740</v>
      </c>
      <c r="G102" t="s">
        <v>23</v>
      </c>
      <c r="H102" t="s">
        <v>24</v>
      </c>
      <c r="I102" t="s">
        <v>25</v>
      </c>
      <c r="J102" t="s">
        <v>26</v>
      </c>
      <c r="K102" t="s">
        <v>26</v>
      </c>
      <c r="L102" t="s">
        <v>27</v>
      </c>
      <c r="M102" t="s">
        <v>29</v>
      </c>
      <c r="N102" t="s">
        <v>29</v>
      </c>
      <c r="O102" t="s">
        <v>29</v>
      </c>
      <c r="P102" t="s">
        <v>20</v>
      </c>
      <c r="R102" t="s">
        <v>144</v>
      </c>
      <c r="S102" t="s">
        <v>31</v>
      </c>
      <c r="T102" t="s">
        <v>32</v>
      </c>
    </row>
    <row r="103" spans="1:20" x14ac:dyDescent="0.2">
      <c r="A103">
        <v>40016</v>
      </c>
      <c r="B103" t="s">
        <v>71</v>
      </c>
      <c r="C103">
        <v>2009</v>
      </c>
      <c r="D103" t="s">
        <v>22</v>
      </c>
      <c r="E103">
        <v>1524912</v>
      </c>
      <c r="F103">
        <v>1525192</v>
      </c>
      <c r="G103" t="s">
        <v>56</v>
      </c>
      <c r="H103" t="s">
        <v>57</v>
      </c>
      <c r="I103" t="s">
        <v>25</v>
      </c>
      <c r="J103" t="s">
        <v>26</v>
      </c>
      <c r="K103" t="s">
        <v>26</v>
      </c>
      <c r="L103" t="s">
        <v>27</v>
      </c>
      <c r="M103" t="s">
        <v>53</v>
      </c>
      <c r="N103" t="s">
        <v>53</v>
      </c>
      <c r="O103" t="s">
        <v>53</v>
      </c>
      <c r="P103" t="s">
        <v>37</v>
      </c>
      <c r="Q103" t="s">
        <v>54</v>
      </c>
      <c r="R103" t="s">
        <v>30</v>
      </c>
      <c r="S103" t="s">
        <v>31</v>
      </c>
      <c r="T103" t="s">
        <v>32</v>
      </c>
    </row>
    <row r="104" spans="1:20" x14ac:dyDescent="0.2">
      <c r="A104">
        <v>40017</v>
      </c>
      <c r="B104" t="s">
        <v>55</v>
      </c>
      <c r="C104">
        <v>2008</v>
      </c>
      <c r="D104" t="s">
        <v>22</v>
      </c>
      <c r="E104">
        <v>1312349</v>
      </c>
      <c r="F104">
        <v>1312730</v>
      </c>
      <c r="G104" t="s">
        <v>56</v>
      </c>
      <c r="H104" t="s">
        <v>57</v>
      </c>
      <c r="I104" t="s">
        <v>25</v>
      </c>
      <c r="J104" t="s">
        <v>26</v>
      </c>
      <c r="K104" t="s">
        <v>26</v>
      </c>
      <c r="L104" t="s">
        <v>27</v>
      </c>
      <c r="M104" t="s">
        <v>29</v>
      </c>
      <c r="N104" t="s">
        <v>29</v>
      </c>
      <c r="O104" t="s">
        <v>29</v>
      </c>
      <c r="P104" t="s">
        <v>37</v>
      </c>
      <c r="Q104" t="s">
        <v>76</v>
      </c>
      <c r="R104" t="s">
        <v>30</v>
      </c>
      <c r="S104" t="s">
        <v>31</v>
      </c>
      <c r="T104" t="s">
        <v>32</v>
      </c>
    </row>
    <row r="105" spans="1:20" x14ac:dyDescent="0.2">
      <c r="A105">
        <v>40018</v>
      </c>
      <c r="B105" t="s">
        <v>55</v>
      </c>
      <c r="C105">
        <v>2008</v>
      </c>
      <c r="D105" t="s">
        <v>22</v>
      </c>
      <c r="E105">
        <v>1373067</v>
      </c>
      <c r="F105">
        <v>1375221</v>
      </c>
      <c r="G105" t="s">
        <v>56</v>
      </c>
      <c r="H105" t="s">
        <v>57</v>
      </c>
      <c r="I105" t="s">
        <v>25</v>
      </c>
      <c r="J105" t="s">
        <v>26</v>
      </c>
      <c r="K105" t="s">
        <v>26</v>
      </c>
      <c r="L105" t="s">
        <v>27</v>
      </c>
      <c r="M105" t="s">
        <v>29</v>
      </c>
      <c r="N105" t="s">
        <v>53</v>
      </c>
      <c r="O105" t="s">
        <v>29</v>
      </c>
      <c r="P105" t="s">
        <v>37</v>
      </c>
      <c r="Q105" t="s">
        <v>127</v>
      </c>
      <c r="R105" t="s">
        <v>30</v>
      </c>
      <c r="S105" t="s">
        <v>31</v>
      </c>
      <c r="T105" t="s">
        <v>32</v>
      </c>
    </row>
    <row r="106" spans="1:20" x14ac:dyDescent="0.2">
      <c r="A106">
        <v>40019</v>
      </c>
      <c r="B106" t="s">
        <v>55</v>
      </c>
      <c r="C106">
        <v>2008</v>
      </c>
      <c r="D106" t="s">
        <v>22</v>
      </c>
      <c r="E106">
        <v>2082046</v>
      </c>
      <c r="F106">
        <v>2082417</v>
      </c>
      <c r="G106" t="s">
        <v>56</v>
      </c>
      <c r="H106" t="s">
        <v>57</v>
      </c>
      <c r="I106" t="s">
        <v>25</v>
      </c>
      <c r="J106" t="s">
        <v>26</v>
      </c>
      <c r="K106" t="s">
        <v>26</v>
      </c>
      <c r="L106" t="s">
        <v>89</v>
      </c>
      <c r="M106" t="s">
        <v>158</v>
      </c>
      <c r="N106" t="s">
        <v>158</v>
      </c>
      <c r="O106" t="s">
        <v>158</v>
      </c>
      <c r="P106" t="s">
        <v>37</v>
      </c>
      <c r="Q106" t="s">
        <v>141</v>
      </c>
      <c r="R106" t="s">
        <v>30</v>
      </c>
      <c r="S106" t="s">
        <v>31</v>
      </c>
      <c r="T106" t="s">
        <v>32</v>
      </c>
    </row>
    <row r="107" spans="1:20" x14ac:dyDescent="0.2">
      <c r="A107">
        <v>40020</v>
      </c>
      <c r="B107" t="s">
        <v>55</v>
      </c>
      <c r="C107">
        <v>2008</v>
      </c>
      <c r="D107" t="s">
        <v>22</v>
      </c>
      <c r="E107">
        <v>2759456</v>
      </c>
      <c r="F107">
        <v>2759795</v>
      </c>
      <c r="G107" t="s">
        <v>56</v>
      </c>
      <c r="H107" t="s">
        <v>57</v>
      </c>
      <c r="I107" t="s">
        <v>25</v>
      </c>
      <c r="J107" t="s">
        <v>26</v>
      </c>
      <c r="K107" t="s">
        <v>26</v>
      </c>
      <c r="L107" t="s">
        <v>27</v>
      </c>
      <c r="M107" t="s">
        <v>29</v>
      </c>
      <c r="N107" t="s">
        <v>29</v>
      </c>
      <c r="O107" t="s">
        <v>29</v>
      </c>
      <c r="P107" t="s">
        <v>20</v>
      </c>
      <c r="R107" t="s">
        <v>30</v>
      </c>
      <c r="S107" t="s">
        <v>31</v>
      </c>
      <c r="T107" t="s">
        <v>32</v>
      </c>
    </row>
    <row r="108" spans="1:20" x14ac:dyDescent="0.2">
      <c r="A108">
        <v>40021</v>
      </c>
      <c r="B108" t="s">
        <v>81</v>
      </c>
      <c r="C108">
        <v>2017</v>
      </c>
      <c r="D108" t="s">
        <v>50</v>
      </c>
      <c r="E108">
        <v>3339709</v>
      </c>
      <c r="F108">
        <v>3339952</v>
      </c>
      <c r="G108" t="s">
        <v>56</v>
      </c>
      <c r="H108" t="s">
        <v>57</v>
      </c>
      <c r="I108" t="s">
        <v>25</v>
      </c>
      <c r="J108" t="s">
        <v>35</v>
      </c>
      <c r="K108" t="s">
        <v>51</v>
      </c>
      <c r="L108" t="s">
        <v>63</v>
      </c>
      <c r="M108" t="s">
        <v>53</v>
      </c>
      <c r="N108" t="s">
        <v>53</v>
      </c>
      <c r="O108" t="s">
        <v>53</v>
      </c>
      <c r="P108" t="s">
        <v>20</v>
      </c>
      <c r="R108" t="s">
        <v>30</v>
      </c>
      <c r="S108" t="s">
        <v>31</v>
      </c>
      <c r="T108" t="s">
        <v>32</v>
      </c>
    </row>
    <row r="109" spans="1:20" x14ac:dyDescent="0.2">
      <c r="A109">
        <v>40022</v>
      </c>
      <c r="B109" t="s">
        <v>71</v>
      </c>
      <c r="C109">
        <v>2009</v>
      </c>
      <c r="D109" t="s">
        <v>22</v>
      </c>
      <c r="E109">
        <v>1279441</v>
      </c>
      <c r="F109">
        <v>1280907</v>
      </c>
      <c r="G109" t="s">
        <v>72</v>
      </c>
      <c r="H109" t="s">
        <v>57</v>
      </c>
      <c r="I109" t="s">
        <v>73</v>
      </c>
      <c r="J109" t="s">
        <v>35</v>
      </c>
      <c r="K109" t="s">
        <v>26</v>
      </c>
      <c r="L109" t="s">
        <v>27</v>
      </c>
      <c r="M109" t="s">
        <v>53</v>
      </c>
      <c r="N109" t="s">
        <v>53</v>
      </c>
      <c r="O109" t="s">
        <v>53</v>
      </c>
      <c r="P109" t="s">
        <v>20</v>
      </c>
      <c r="R109" t="s">
        <v>77</v>
      </c>
      <c r="S109" t="s">
        <v>31</v>
      </c>
      <c r="T109" t="s">
        <v>32</v>
      </c>
    </row>
    <row r="110" spans="1:20" x14ac:dyDescent="0.2">
      <c r="A110">
        <v>40023</v>
      </c>
      <c r="B110" t="s">
        <v>71</v>
      </c>
      <c r="C110">
        <v>2009</v>
      </c>
      <c r="D110" t="s">
        <v>22</v>
      </c>
      <c r="E110">
        <v>1441904</v>
      </c>
      <c r="F110">
        <v>1444650</v>
      </c>
      <c r="G110" t="s">
        <v>72</v>
      </c>
      <c r="H110" t="s">
        <v>57</v>
      </c>
      <c r="I110" t="s">
        <v>73</v>
      </c>
      <c r="J110" t="s">
        <v>26</v>
      </c>
      <c r="K110" t="s">
        <v>26</v>
      </c>
      <c r="L110" t="s">
        <v>27</v>
      </c>
      <c r="M110" t="s">
        <v>53</v>
      </c>
      <c r="N110" t="s">
        <v>53</v>
      </c>
      <c r="O110" t="s">
        <v>53</v>
      </c>
      <c r="P110" t="s">
        <v>20</v>
      </c>
      <c r="R110" t="s">
        <v>77</v>
      </c>
      <c r="S110" t="s">
        <v>31</v>
      </c>
      <c r="T110" t="s">
        <v>32</v>
      </c>
    </row>
    <row r="111" spans="1:20" x14ac:dyDescent="0.2">
      <c r="A111">
        <v>40024</v>
      </c>
      <c r="B111" t="s">
        <v>71</v>
      </c>
      <c r="C111">
        <v>2009</v>
      </c>
      <c r="D111" t="s">
        <v>22</v>
      </c>
      <c r="E111">
        <v>1513987</v>
      </c>
      <c r="F111">
        <v>1515134</v>
      </c>
      <c r="G111" t="s">
        <v>72</v>
      </c>
      <c r="H111" t="s">
        <v>57</v>
      </c>
      <c r="I111" t="s">
        <v>73</v>
      </c>
      <c r="J111" t="s">
        <v>26</v>
      </c>
      <c r="K111" t="s">
        <v>26</v>
      </c>
      <c r="L111" t="s">
        <v>27</v>
      </c>
      <c r="M111" t="s">
        <v>29</v>
      </c>
      <c r="N111" t="s">
        <v>29</v>
      </c>
      <c r="O111" t="s">
        <v>29</v>
      </c>
      <c r="P111" t="s">
        <v>20</v>
      </c>
      <c r="R111" t="s">
        <v>77</v>
      </c>
      <c r="S111" t="s">
        <v>31</v>
      </c>
      <c r="T111" t="s">
        <v>32</v>
      </c>
    </row>
    <row r="112" spans="1:20" x14ac:dyDescent="0.2">
      <c r="A112">
        <v>40025</v>
      </c>
      <c r="B112" t="s">
        <v>71</v>
      </c>
      <c r="C112">
        <v>2009</v>
      </c>
      <c r="D112" t="s">
        <v>22</v>
      </c>
      <c r="E112">
        <v>1676847</v>
      </c>
      <c r="F112">
        <v>1677488</v>
      </c>
      <c r="G112" t="s">
        <v>72</v>
      </c>
      <c r="H112" t="s">
        <v>57</v>
      </c>
      <c r="I112" t="s">
        <v>73</v>
      </c>
      <c r="J112" t="s">
        <v>26</v>
      </c>
      <c r="K112" t="s">
        <v>69</v>
      </c>
      <c r="L112" t="s">
        <v>63</v>
      </c>
      <c r="M112" t="s">
        <v>29</v>
      </c>
      <c r="N112" t="s">
        <v>29</v>
      </c>
      <c r="O112" t="s">
        <v>36</v>
      </c>
      <c r="P112" t="s">
        <v>37</v>
      </c>
      <c r="Q112" t="s">
        <v>116</v>
      </c>
      <c r="R112" t="s">
        <v>77</v>
      </c>
      <c r="S112" t="s">
        <v>31</v>
      </c>
      <c r="T112" t="s">
        <v>32</v>
      </c>
    </row>
    <row r="113" spans="1:20" x14ac:dyDescent="0.2">
      <c r="A113">
        <v>40026</v>
      </c>
      <c r="B113" t="s">
        <v>71</v>
      </c>
      <c r="C113">
        <v>2009</v>
      </c>
      <c r="D113" t="s">
        <v>22</v>
      </c>
      <c r="E113">
        <v>2347953</v>
      </c>
      <c r="F113">
        <v>2348930</v>
      </c>
      <c r="G113" t="s">
        <v>72</v>
      </c>
      <c r="H113" t="s">
        <v>57</v>
      </c>
      <c r="I113" t="s">
        <v>73</v>
      </c>
      <c r="J113" t="s">
        <v>35</v>
      </c>
      <c r="K113" t="s">
        <v>26</v>
      </c>
      <c r="L113" t="s">
        <v>63</v>
      </c>
      <c r="M113" t="s">
        <v>29</v>
      </c>
      <c r="N113" t="s">
        <v>29</v>
      </c>
      <c r="O113" t="s">
        <v>29</v>
      </c>
      <c r="P113" t="s">
        <v>37</v>
      </c>
      <c r="Q113" t="s">
        <v>66</v>
      </c>
      <c r="R113" t="s">
        <v>77</v>
      </c>
      <c r="S113" t="s">
        <v>31</v>
      </c>
      <c r="T113" t="s">
        <v>32</v>
      </c>
    </row>
    <row r="114" spans="1:20" x14ac:dyDescent="0.2">
      <c r="A114">
        <v>40027</v>
      </c>
      <c r="B114" t="s">
        <v>125</v>
      </c>
      <c r="C114">
        <v>2007</v>
      </c>
      <c r="D114" t="s">
        <v>22</v>
      </c>
      <c r="E114">
        <v>5194785</v>
      </c>
      <c r="F114">
        <v>5195789</v>
      </c>
      <c r="G114" t="s">
        <v>72</v>
      </c>
      <c r="H114" t="s">
        <v>57</v>
      </c>
      <c r="I114" t="s">
        <v>73</v>
      </c>
      <c r="J114" t="s">
        <v>35</v>
      </c>
      <c r="K114" t="s">
        <v>62</v>
      </c>
      <c r="L114" t="s">
        <v>27</v>
      </c>
      <c r="M114" t="s">
        <v>44</v>
      </c>
      <c r="N114" t="s">
        <v>44</v>
      </c>
      <c r="O114" t="s">
        <v>44</v>
      </c>
      <c r="P114" t="s">
        <v>20</v>
      </c>
      <c r="R114" t="s">
        <v>77</v>
      </c>
      <c r="S114" t="s">
        <v>31</v>
      </c>
      <c r="T114" t="s">
        <v>32</v>
      </c>
    </row>
    <row r="115" spans="1:20" x14ac:dyDescent="0.2">
      <c r="A115">
        <v>40028</v>
      </c>
      <c r="B115" t="s">
        <v>55</v>
      </c>
      <c r="C115">
        <v>2008</v>
      </c>
      <c r="D115" t="s">
        <v>22</v>
      </c>
      <c r="E115">
        <v>2004204</v>
      </c>
      <c r="F115">
        <v>2004738</v>
      </c>
      <c r="G115" t="s">
        <v>72</v>
      </c>
      <c r="H115" t="s">
        <v>57</v>
      </c>
      <c r="I115" t="s">
        <v>73</v>
      </c>
      <c r="J115" t="s">
        <v>26</v>
      </c>
      <c r="K115" t="s">
        <v>26</v>
      </c>
      <c r="L115" t="s">
        <v>27</v>
      </c>
      <c r="M115" t="s">
        <v>29</v>
      </c>
      <c r="N115" t="s">
        <v>29</v>
      </c>
      <c r="O115" t="s">
        <v>158</v>
      </c>
      <c r="P115" t="s">
        <v>20</v>
      </c>
      <c r="R115" t="s">
        <v>77</v>
      </c>
      <c r="S115" t="s">
        <v>31</v>
      </c>
      <c r="T115" t="s">
        <v>32</v>
      </c>
    </row>
    <row r="116" spans="1:20" x14ac:dyDescent="0.2">
      <c r="A116">
        <v>40029</v>
      </c>
      <c r="B116" t="s">
        <v>55</v>
      </c>
      <c r="C116">
        <v>2008</v>
      </c>
      <c r="D116" t="s">
        <v>22</v>
      </c>
      <c r="E116">
        <v>2357796</v>
      </c>
      <c r="F116">
        <v>2358612</v>
      </c>
      <c r="G116" t="s">
        <v>72</v>
      </c>
      <c r="H116" t="s">
        <v>57</v>
      </c>
      <c r="I116" t="s">
        <v>73</v>
      </c>
      <c r="J116" t="s">
        <v>62</v>
      </c>
      <c r="K116" t="s">
        <v>26</v>
      </c>
      <c r="L116" t="s">
        <v>27</v>
      </c>
      <c r="M116" t="s">
        <v>29</v>
      </c>
      <c r="N116" t="s">
        <v>53</v>
      </c>
      <c r="O116" t="s">
        <v>53</v>
      </c>
      <c r="P116" t="s">
        <v>20</v>
      </c>
      <c r="R116" t="s">
        <v>77</v>
      </c>
      <c r="S116" t="s">
        <v>31</v>
      </c>
      <c r="T116" t="s">
        <v>32</v>
      </c>
    </row>
    <row r="117" spans="1:20" x14ac:dyDescent="0.2">
      <c r="A117">
        <v>40030</v>
      </c>
      <c r="B117" t="s">
        <v>128</v>
      </c>
      <c r="C117">
        <v>2008</v>
      </c>
      <c r="D117" t="s">
        <v>22</v>
      </c>
      <c r="E117">
        <v>3259803</v>
      </c>
      <c r="F117">
        <v>3260564</v>
      </c>
      <c r="G117" t="s">
        <v>72</v>
      </c>
      <c r="H117" t="s">
        <v>57</v>
      </c>
      <c r="I117" t="s">
        <v>73</v>
      </c>
      <c r="J117" t="s">
        <v>26</v>
      </c>
      <c r="K117" t="s">
        <v>69</v>
      </c>
      <c r="L117" t="s">
        <v>27</v>
      </c>
      <c r="M117" t="s">
        <v>29</v>
      </c>
      <c r="N117" t="s">
        <v>29</v>
      </c>
      <c r="O117" t="s">
        <v>29</v>
      </c>
      <c r="P117" t="s">
        <v>37</v>
      </c>
      <c r="Q117" t="s">
        <v>161</v>
      </c>
      <c r="R117" t="s">
        <v>30</v>
      </c>
      <c r="S117" t="s">
        <v>31</v>
      </c>
      <c r="T117" t="s">
        <v>32</v>
      </c>
    </row>
    <row r="118" spans="1:20" x14ac:dyDescent="0.2">
      <c r="A118">
        <v>40031</v>
      </c>
      <c r="B118" t="s">
        <v>131</v>
      </c>
      <c r="C118">
        <v>2008</v>
      </c>
      <c r="D118" t="s">
        <v>22</v>
      </c>
      <c r="E118">
        <v>5228190</v>
      </c>
      <c r="F118">
        <v>5229591</v>
      </c>
      <c r="G118" t="s">
        <v>72</v>
      </c>
      <c r="H118" t="s">
        <v>57</v>
      </c>
      <c r="I118" t="s">
        <v>73</v>
      </c>
      <c r="J118" t="s">
        <v>35</v>
      </c>
      <c r="K118" t="s">
        <v>69</v>
      </c>
      <c r="L118" t="s">
        <v>27</v>
      </c>
      <c r="M118" t="s">
        <v>36</v>
      </c>
      <c r="N118" t="s">
        <v>36</v>
      </c>
      <c r="O118" t="s">
        <v>29</v>
      </c>
      <c r="P118" t="s">
        <v>37</v>
      </c>
      <c r="Q118" t="s">
        <v>127</v>
      </c>
      <c r="R118" t="s">
        <v>77</v>
      </c>
      <c r="S118" t="s">
        <v>31</v>
      </c>
      <c r="T118" t="s">
        <v>32</v>
      </c>
    </row>
    <row r="119" spans="1:20" x14ac:dyDescent="0.2">
      <c r="A119">
        <v>40032</v>
      </c>
      <c r="B119" t="s">
        <v>21</v>
      </c>
      <c r="C119">
        <v>2007</v>
      </c>
      <c r="D119" t="s">
        <v>22</v>
      </c>
      <c r="E119">
        <v>1577197</v>
      </c>
      <c r="F119">
        <v>1578007</v>
      </c>
      <c r="G119" t="s">
        <v>72</v>
      </c>
      <c r="H119" t="s">
        <v>57</v>
      </c>
      <c r="I119" t="s">
        <v>73</v>
      </c>
      <c r="J119" t="s">
        <v>26</v>
      </c>
      <c r="K119" t="s">
        <v>26</v>
      </c>
      <c r="L119" t="s">
        <v>27</v>
      </c>
      <c r="M119" t="s">
        <v>29</v>
      </c>
      <c r="N119" t="s">
        <v>29</v>
      </c>
      <c r="O119" t="s">
        <v>29</v>
      </c>
      <c r="P119" t="s">
        <v>37</v>
      </c>
      <c r="Q119" t="s">
        <v>95</v>
      </c>
      <c r="R119" t="s">
        <v>77</v>
      </c>
      <c r="S119" t="s">
        <v>31</v>
      </c>
      <c r="T119" t="s">
        <v>80</v>
      </c>
    </row>
    <row r="120" spans="1:20" x14ac:dyDescent="0.2">
      <c r="A120">
        <v>40033</v>
      </c>
      <c r="B120" t="s">
        <v>21</v>
      </c>
      <c r="C120">
        <v>2007</v>
      </c>
      <c r="D120" t="s">
        <v>22</v>
      </c>
      <c r="E120">
        <v>1495523</v>
      </c>
      <c r="F120">
        <v>1496732</v>
      </c>
      <c r="G120" t="s">
        <v>72</v>
      </c>
      <c r="H120" t="s">
        <v>57</v>
      </c>
      <c r="I120" t="s">
        <v>73</v>
      </c>
      <c r="J120" t="s">
        <v>26</v>
      </c>
      <c r="K120" t="s">
        <v>26</v>
      </c>
      <c r="L120" t="s">
        <v>27</v>
      </c>
      <c r="M120" t="s">
        <v>36</v>
      </c>
      <c r="N120" t="s">
        <v>29</v>
      </c>
      <c r="O120" t="s">
        <v>29</v>
      </c>
      <c r="P120" t="s">
        <v>20</v>
      </c>
      <c r="R120" t="s">
        <v>77</v>
      </c>
      <c r="S120" t="s">
        <v>31</v>
      </c>
      <c r="T120" t="s">
        <v>32</v>
      </c>
    </row>
    <row r="121" spans="1:20" x14ac:dyDescent="0.2">
      <c r="A121">
        <v>40034</v>
      </c>
      <c r="B121" t="s">
        <v>21</v>
      </c>
      <c r="C121">
        <v>2007</v>
      </c>
      <c r="D121" t="s">
        <v>22</v>
      </c>
      <c r="E121">
        <v>1506485</v>
      </c>
      <c r="F121">
        <v>1507886</v>
      </c>
      <c r="G121" t="s">
        <v>72</v>
      </c>
      <c r="H121" t="s">
        <v>57</v>
      </c>
      <c r="I121" t="s">
        <v>73</v>
      </c>
      <c r="J121" t="s">
        <v>35</v>
      </c>
      <c r="K121" t="s">
        <v>26</v>
      </c>
      <c r="L121" t="s">
        <v>27</v>
      </c>
      <c r="M121" t="s">
        <v>36</v>
      </c>
      <c r="N121" t="s">
        <v>29</v>
      </c>
      <c r="O121" t="s">
        <v>36</v>
      </c>
      <c r="P121" t="s">
        <v>37</v>
      </c>
      <c r="Q121" t="s">
        <v>76</v>
      </c>
      <c r="R121" t="s">
        <v>77</v>
      </c>
      <c r="S121" t="s">
        <v>31</v>
      </c>
      <c r="T121" t="s">
        <v>32</v>
      </c>
    </row>
    <row r="122" spans="1:20" x14ac:dyDescent="0.2">
      <c r="A122">
        <v>40035</v>
      </c>
      <c r="B122" t="s">
        <v>21</v>
      </c>
      <c r="C122">
        <v>2007</v>
      </c>
      <c r="D122" t="s">
        <v>22</v>
      </c>
      <c r="E122">
        <v>2452083</v>
      </c>
      <c r="F122">
        <v>2452902</v>
      </c>
      <c r="G122" t="s">
        <v>72</v>
      </c>
      <c r="H122" t="s">
        <v>57</v>
      </c>
      <c r="I122" t="s">
        <v>73</v>
      </c>
      <c r="J122" t="s">
        <v>26</v>
      </c>
      <c r="K122" t="s">
        <v>62</v>
      </c>
      <c r="L122" t="s">
        <v>63</v>
      </c>
      <c r="M122" t="s">
        <v>29</v>
      </c>
      <c r="N122" t="s">
        <v>29</v>
      </c>
      <c r="O122" t="s">
        <v>29</v>
      </c>
      <c r="P122" t="s">
        <v>20</v>
      </c>
      <c r="R122" t="s">
        <v>30</v>
      </c>
      <c r="S122" t="s">
        <v>31</v>
      </c>
      <c r="T122" t="s">
        <v>80</v>
      </c>
    </row>
    <row r="123" spans="1:20" x14ac:dyDescent="0.2">
      <c r="A123">
        <v>40036</v>
      </c>
      <c r="B123" t="s">
        <v>61</v>
      </c>
      <c r="C123">
        <v>2007</v>
      </c>
      <c r="D123" t="s">
        <v>42</v>
      </c>
      <c r="E123">
        <v>3286447</v>
      </c>
      <c r="F123">
        <v>3287810</v>
      </c>
      <c r="G123" t="s">
        <v>72</v>
      </c>
      <c r="H123" t="s">
        <v>57</v>
      </c>
      <c r="I123" t="s">
        <v>73</v>
      </c>
      <c r="J123" t="s">
        <v>26</v>
      </c>
      <c r="K123" t="s">
        <v>69</v>
      </c>
      <c r="L123" t="s">
        <v>27</v>
      </c>
      <c r="M123" t="s">
        <v>44</v>
      </c>
      <c r="N123" t="s">
        <v>44</v>
      </c>
      <c r="O123" t="s">
        <v>44</v>
      </c>
      <c r="P123" t="s">
        <v>20</v>
      </c>
      <c r="R123" t="s">
        <v>77</v>
      </c>
      <c r="S123" t="s">
        <v>31</v>
      </c>
      <c r="T123" t="s">
        <v>32</v>
      </c>
    </row>
    <row r="124" spans="1:20" x14ac:dyDescent="0.2">
      <c r="A124">
        <v>40037</v>
      </c>
      <c r="B124" t="s">
        <v>61</v>
      </c>
      <c r="C124">
        <v>2007</v>
      </c>
      <c r="D124" t="s">
        <v>42</v>
      </c>
      <c r="E124">
        <v>1194126</v>
      </c>
      <c r="F124">
        <v>1195496</v>
      </c>
      <c r="G124" t="s">
        <v>72</v>
      </c>
      <c r="H124" t="s">
        <v>57</v>
      </c>
      <c r="I124" t="s">
        <v>73</v>
      </c>
      <c r="J124" t="s">
        <v>35</v>
      </c>
      <c r="K124" t="s">
        <v>69</v>
      </c>
      <c r="L124" t="s">
        <v>27</v>
      </c>
      <c r="M124" t="s">
        <v>29</v>
      </c>
      <c r="N124" t="s">
        <v>29</v>
      </c>
      <c r="O124" t="s">
        <v>29</v>
      </c>
      <c r="P124" t="s">
        <v>45</v>
      </c>
      <c r="R124" t="s">
        <v>77</v>
      </c>
      <c r="S124" t="s">
        <v>31</v>
      </c>
      <c r="T124" t="s">
        <v>32</v>
      </c>
    </row>
    <row r="125" spans="1:20" x14ac:dyDescent="0.2">
      <c r="A125">
        <v>40038</v>
      </c>
      <c r="B125" t="s">
        <v>47</v>
      </c>
      <c r="C125">
        <v>2013</v>
      </c>
      <c r="D125" t="s">
        <v>42</v>
      </c>
      <c r="E125">
        <v>2861516</v>
      </c>
      <c r="F125">
        <v>2861516</v>
      </c>
      <c r="G125" t="s">
        <v>72</v>
      </c>
      <c r="H125" t="s">
        <v>57</v>
      </c>
      <c r="I125" t="s">
        <v>73</v>
      </c>
      <c r="J125" t="s">
        <v>26</v>
      </c>
      <c r="K125" t="s">
        <v>26</v>
      </c>
      <c r="L125" t="s">
        <v>27</v>
      </c>
      <c r="M125" t="s">
        <v>44</v>
      </c>
      <c r="N125" t="s">
        <v>44</v>
      </c>
      <c r="O125" t="s">
        <v>44</v>
      </c>
      <c r="P125" t="s">
        <v>20</v>
      </c>
      <c r="R125" t="s">
        <v>77</v>
      </c>
      <c r="S125" t="s">
        <v>31</v>
      </c>
      <c r="T125" t="s">
        <v>32</v>
      </c>
    </row>
    <row r="126" spans="1:20" x14ac:dyDescent="0.2">
      <c r="A126">
        <v>40039</v>
      </c>
      <c r="B126" t="s">
        <v>47</v>
      </c>
      <c r="C126">
        <v>2013</v>
      </c>
      <c r="D126" t="s">
        <v>42</v>
      </c>
      <c r="E126">
        <v>2864506</v>
      </c>
      <c r="F126">
        <v>2865069</v>
      </c>
      <c r="G126" t="s">
        <v>72</v>
      </c>
      <c r="H126" t="s">
        <v>57</v>
      </c>
      <c r="I126" t="s">
        <v>73</v>
      </c>
      <c r="J126" t="s">
        <v>62</v>
      </c>
      <c r="K126" t="s">
        <v>69</v>
      </c>
      <c r="L126" t="s">
        <v>27</v>
      </c>
      <c r="M126" t="s">
        <v>44</v>
      </c>
      <c r="N126" t="s">
        <v>44</v>
      </c>
      <c r="O126" t="s">
        <v>44</v>
      </c>
      <c r="P126" t="s">
        <v>45</v>
      </c>
      <c r="R126" t="s">
        <v>77</v>
      </c>
      <c r="S126" t="s">
        <v>31</v>
      </c>
      <c r="T126" t="s">
        <v>32</v>
      </c>
    </row>
    <row r="127" spans="1:20" x14ac:dyDescent="0.2">
      <c r="A127">
        <v>40040</v>
      </c>
      <c r="B127" t="s">
        <v>67</v>
      </c>
      <c r="C127">
        <v>2007</v>
      </c>
      <c r="D127" t="s">
        <v>42</v>
      </c>
      <c r="E127">
        <v>237817</v>
      </c>
      <c r="F127">
        <v>239359</v>
      </c>
      <c r="G127" t="s">
        <v>72</v>
      </c>
      <c r="H127" t="s">
        <v>57</v>
      </c>
      <c r="I127" t="s">
        <v>73</v>
      </c>
      <c r="J127" t="s">
        <v>26</v>
      </c>
      <c r="K127" t="s">
        <v>26</v>
      </c>
      <c r="L127" t="s">
        <v>27</v>
      </c>
      <c r="M127" t="s">
        <v>29</v>
      </c>
      <c r="N127" t="s">
        <v>29</v>
      </c>
      <c r="O127" t="s">
        <v>36</v>
      </c>
      <c r="P127" t="s">
        <v>20</v>
      </c>
      <c r="R127" t="s">
        <v>77</v>
      </c>
      <c r="S127" t="s">
        <v>31</v>
      </c>
      <c r="T127" t="s">
        <v>32</v>
      </c>
    </row>
    <row r="128" spans="1:20" x14ac:dyDescent="0.2">
      <c r="A128">
        <v>40041</v>
      </c>
      <c r="B128" t="s">
        <v>110</v>
      </c>
      <c r="C128">
        <v>2017</v>
      </c>
      <c r="D128" t="s">
        <v>50</v>
      </c>
      <c r="E128">
        <v>3324012</v>
      </c>
      <c r="F128">
        <v>3325025</v>
      </c>
      <c r="G128" t="s">
        <v>72</v>
      </c>
      <c r="H128" t="s">
        <v>57</v>
      </c>
      <c r="I128" t="s">
        <v>73</v>
      </c>
      <c r="J128" t="s">
        <v>26</v>
      </c>
      <c r="K128" t="s">
        <v>26</v>
      </c>
      <c r="L128" t="s">
        <v>27</v>
      </c>
      <c r="M128" t="s">
        <v>36</v>
      </c>
      <c r="N128" t="s">
        <v>36</v>
      </c>
      <c r="O128" t="s">
        <v>29</v>
      </c>
      <c r="P128" t="s">
        <v>37</v>
      </c>
      <c r="Q128" t="s">
        <v>54</v>
      </c>
      <c r="R128" t="s">
        <v>77</v>
      </c>
      <c r="S128" t="s">
        <v>31</v>
      </c>
      <c r="T128" t="s">
        <v>32</v>
      </c>
    </row>
    <row r="129" spans="1:20" x14ac:dyDescent="0.2">
      <c r="A129">
        <v>40042</v>
      </c>
      <c r="B129" t="s">
        <v>110</v>
      </c>
      <c r="C129">
        <v>2017</v>
      </c>
      <c r="D129" t="s">
        <v>50</v>
      </c>
      <c r="E129">
        <v>2600037</v>
      </c>
      <c r="F129">
        <v>2600429</v>
      </c>
      <c r="G129" t="s">
        <v>72</v>
      </c>
      <c r="H129" t="s">
        <v>57</v>
      </c>
      <c r="I129" t="s">
        <v>73</v>
      </c>
      <c r="J129" t="s">
        <v>35</v>
      </c>
      <c r="K129" t="s">
        <v>69</v>
      </c>
      <c r="L129" t="s">
        <v>27</v>
      </c>
      <c r="M129" t="s">
        <v>53</v>
      </c>
      <c r="N129" t="s">
        <v>29</v>
      </c>
      <c r="O129" t="s">
        <v>29</v>
      </c>
      <c r="P129" t="s">
        <v>37</v>
      </c>
      <c r="Q129" t="s">
        <v>54</v>
      </c>
      <c r="R129" t="s">
        <v>77</v>
      </c>
      <c r="S129" t="s">
        <v>31</v>
      </c>
      <c r="T129" t="s">
        <v>32</v>
      </c>
    </row>
    <row r="130" spans="1:20" x14ac:dyDescent="0.2">
      <c r="A130">
        <v>40043</v>
      </c>
      <c r="B130" t="s">
        <v>166</v>
      </c>
      <c r="C130">
        <v>2017</v>
      </c>
      <c r="D130" t="s">
        <v>50</v>
      </c>
      <c r="E130">
        <v>1886829</v>
      </c>
      <c r="F130">
        <v>1887515</v>
      </c>
      <c r="G130" t="s">
        <v>72</v>
      </c>
      <c r="H130" t="s">
        <v>57</v>
      </c>
      <c r="I130" t="s">
        <v>73</v>
      </c>
      <c r="J130" t="s">
        <v>26</v>
      </c>
      <c r="K130" t="s">
        <v>62</v>
      </c>
      <c r="L130" t="s">
        <v>27</v>
      </c>
      <c r="M130" t="s">
        <v>53</v>
      </c>
      <c r="N130" t="s">
        <v>53</v>
      </c>
      <c r="O130" t="s">
        <v>53</v>
      </c>
      <c r="P130" t="s">
        <v>37</v>
      </c>
      <c r="Q130" t="s">
        <v>54</v>
      </c>
      <c r="R130" t="s">
        <v>77</v>
      </c>
      <c r="S130" t="s">
        <v>31</v>
      </c>
      <c r="T130" t="s">
        <v>32</v>
      </c>
    </row>
    <row r="131" spans="1:20" x14ac:dyDescent="0.2">
      <c r="A131">
        <v>40044</v>
      </c>
      <c r="B131" t="s">
        <v>110</v>
      </c>
      <c r="C131">
        <v>2017</v>
      </c>
      <c r="D131" t="s">
        <v>50</v>
      </c>
      <c r="E131">
        <v>2249583</v>
      </c>
      <c r="F131">
        <v>2250549</v>
      </c>
      <c r="G131" t="s">
        <v>112</v>
      </c>
      <c r="H131" t="s">
        <v>57</v>
      </c>
      <c r="I131" t="s">
        <v>25</v>
      </c>
      <c r="J131" t="s">
        <v>26</v>
      </c>
      <c r="K131" t="s">
        <v>51</v>
      </c>
      <c r="L131" t="s">
        <v>89</v>
      </c>
      <c r="M131" t="s">
        <v>29</v>
      </c>
      <c r="N131" t="s">
        <v>29</v>
      </c>
      <c r="O131" t="s">
        <v>53</v>
      </c>
      <c r="P131" t="s">
        <v>37</v>
      </c>
      <c r="Q131" t="s">
        <v>167</v>
      </c>
      <c r="R131" t="s">
        <v>46</v>
      </c>
      <c r="S131" t="s">
        <v>31</v>
      </c>
      <c r="T131" t="s">
        <v>32</v>
      </c>
    </row>
    <row r="132" spans="1:20" x14ac:dyDescent="0.2">
      <c r="A132">
        <v>40045</v>
      </c>
      <c r="B132" t="s">
        <v>128</v>
      </c>
      <c r="C132">
        <v>2008</v>
      </c>
      <c r="D132" t="s">
        <v>22</v>
      </c>
      <c r="E132">
        <v>884512</v>
      </c>
      <c r="F132">
        <v>884894</v>
      </c>
      <c r="G132" t="s">
        <v>34</v>
      </c>
      <c r="H132" t="s">
        <v>24</v>
      </c>
      <c r="I132" t="s">
        <v>25</v>
      </c>
      <c r="J132" t="s">
        <v>35</v>
      </c>
      <c r="K132" t="s">
        <v>26</v>
      </c>
      <c r="L132" t="s">
        <v>27</v>
      </c>
      <c r="M132" t="s">
        <v>53</v>
      </c>
      <c r="N132" t="s">
        <v>53</v>
      </c>
      <c r="O132" t="s">
        <v>53</v>
      </c>
      <c r="P132" t="s">
        <v>37</v>
      </c>
      <c r="Q132" t="s">
        <v>95</v>
      </c>
      <c r="R132" t="s">
        <v>30</v>
      </c>
      <c r="S132" t="s">
        <v>31</v>
      </c>
      <c r="T132" t="s">
        <v>32</v>
      </c>
    </row>
    <row r="133" spans="1:20" x14ac:dyDescent="0.2">
      <c r="A133">
        <v>40046</v>
      </c>
      <c r="B133" t="s">
        <v>131</v>
      </c>
      <c r="C133">
        <v>2008</v>
      </c>
      <c r="D133" t="s">
        <v>22</v>
      </c>
      <c r="E133">
        <v>4975861</v>
      </c>
      <c r="F133">
        <v>4976252</v>
      </c>
      <c r="G133" t="s">
        <v>34</v>
      </c>
      <c r="H133" t="s">
        <v>24</v>
      </c>
      <c r="I133" t="s">
        <v>25</v>
      </c>
      <c r="J133" t="s">
        <v>26</v>
      </c>
      <c r="K133" t="s">
        <v>26</v>
      </c>
      <c r="L133" t="s">
        <v>27</v>
      </c>
      <c r="M133" t="s">
        <v>29</v>
      </c>
      <c r="N133" t="s">
        <v>29</v>
      </c>
      <c r="O133" t="s">
        <v>29</v>
      </c>
      <c r="P133" t="s">
        <v>20</v>
      </c>
      <c r="R133" t="s">
        <v>30</v>
      </c>
      <c r="S133" t="s">
        <v>31</v>
      </c>
      <c r="T133" t="s">
        <v>98</v>
      </c>
    </row>
    <row r="134" spans="1:20" x14ac:dyDescent="0.2">
      <c r="A134">
        <v>40047</v>
      </c>
      <c r="B134" t="s">
        <v>21</v>
      </c>
      <c r="C134">
        <v>2007</v>
      </c>
      <c r="D134" t="s">
        <v>22</v>
      </c>
      <c r="E134">
        <v>409878</v>
      </c>
      <c r="F134">
        <v>410341</v>
      </c>
      <c r="G134" t="s">
        <v>34</v>
      </c>
      <c r="H134" t="s">
        <v>24</v>
      </c>
      <c r="I134" t="s">
        <v>25</v>
      </c>
      <c r="J134" t="s">
        <v>26</v>
      </c>
      <c r="K134" t="s">
        <v>26</v>
      </c>
      <c r="L134" t="s">
        <v>27</v>
      </c>
      <c r="M134" t="s">
        <v>53</v>
      </c>
      <c r="N134" t="s">
        <v>53</v>
      </c>
      <c r="O134" t="s">
        <v>53</v>
      </c>
      <c r="P134" t="s">
        <v>37</v>
      </c>
      <c r="Q134" t="s">
        <v>169</v>
      </c>
      <c r="R134" t="s">
        <v>30</v>
      </c>
      <c r="S134" t="s">
        <v>31</v>
      </c>
      <c r="T134" t="s">
        <v>32</v>
      </c>
    </row>
    <row r="135" spans="1:20" x14ac:dyDescent="0.2">
      <c r="A135">
        <v>40048</v>
      </c>
      <c r="B135" t="s">
        <v>21</v>
      </c>
      <c r="C135">
        <v>2007</v>
      </c>
      <c r="D135" t="s">
        <v>22</v>
      </c>
      <c r="E135">
        <v>534339</v>
      </c>
      <c r="F135">
        <v>534724</v>
      </c>
      <c r="G135" t="s">
        <v>34</v>
      </c>
      <c r="H135" t="s">
        <v>24</v>
      </c>
      <c r="I135" t="s">
        <v>25</v>
      </c>
      <c r="J135" t="s">
        <v>26</v>
      </c>
      <c r="K135" t="s">
        <v>26</v>
      </c>
      <c r="L135" t="s">
        <v>27</v>
      </c>
      <c r="M135" t="s">
        <v>29</v>
      </c>
      <c r="N135" t="s">
        <v>53</v>
      </c>
      <c r="O135" t="s">
        <v>53</v>
      </c>
      <c r="P135" t="s">
        <v>20</v>
      </c>
      <c r="R135" t="s">
        <v>30</v>
      </c>
      <c r="S135" t="s">
        <v>31</v>
      </c>
      <c r="T135" t="s">
        <v>32</v>
      </c>
    </row>
    <row r="136" spans="1:20" x14ac:dyDescent="0.2">
      <c r="A136">
        <v>40049</v>
      </c>
      <c r="B136" t="s">
        <v>21</v>
      </c>
      <c r="C136">
        <v>2007</v>
      </c>
      <c r="D136" t="s">
        <v>22</v>
      </c>
      <c r="E136">
        <v>1390135</v>
      </c>
      <c r="F136">
        <v>1390383</v>
      </c>
      <c r="G136" t="s">
        <v>34</v>
      </c>
      <c r="H136" t="s">
        <v>24</v>
      </c>
      <c r="I136" t="s">
        <v>25</v>
      </c>
      <c r="J136" t="s">
        <v>26</v>
      </c>
      <c r="K136" t="s">
        <v>26</v>
      </c>
      <c r="L136" t="s">
        <v>27</v>
      </c>
      <c r="M136" t="s">
        <v>29</v>
      </c>
      <c r="N136" t="s">
        <v>29</v>
      </c>
      <c r="O136" t="s">
        <v>29</v>
      </c>
      <c r="P136" t="s">
        <v>20</v>
      </c>
      <c r="R136" t="s">
        <v>30</v>
      </c>
      <c r="S136" t="s">
        <v>31</v>
      </c>
      <c r="T136" t="s">
        <v>32</v>
      </c>
    </row>
    <row r="137" spans="1:20" x14ac:dyDescent="0.2">
      <c r="A137">
        <v>40050</v>
      </c>
      <c r="B137" t="s">
        <v>21</v>
      </c>
      <c r="C137">
        <v>2007</v>
      </c>
      <c r="D137" t="s">
        <v>22</v>
      </c>
      <c r="E137">
        <v>1435564</v>
      </c>
      <c r="F137">
        <v>1435893</v>
      </c>
      <c r="G137" t="s">
        <v>34</v>
      </c>
      <c r="H137" t="s">
        <v>24</v>
      </c>
      <c r="I137" t="s">
        <v>25</v>
      </c>
      <c r="J137" t="s">
        <v>26</v>
      </c>
      <c r="K137" t="s">
        <v>26</v>
      </c>
      <c r="L137" t="s">
        <v>27</v>
      </c>
      <c r="M137" t="s">
        <v>29</v>
      </c>
      <c r="N137" t="s">
        <v>29</v>
      </c>
      <c r="O137" t="s">
        <v>29</v>
      </c>
      <c r="P137" t="s">
        <v>20</v>
      </c>
      <c r="R137" t="s">
        <v>30</v>
      </c>
      <c r="S137" t="s">
        <v>31</v>
      </c>
      <c r="T137" t="s">
        <v>32</v>
      </c>
    </row>
    <row r="138" spans="1:20" x14ac:dyDescent="0.2">
      <c r="A138">
        <v>40051</v>
      </c>
      <c r="B138" t="s">
        <v>21</v>
      </c>
      <c r="C138">
        <v>2007</v>
      </c>
      <c r="D138" t="s">
        <v>22</v>
      </c>
      <c r="E138">
        <v>1984597</v>
      </c>
      <c r="F138">
        <v>1984859</v>
      </c>
      <c r="G138" t="s">
        <v>34</v>
      </c>
      <c r="H138" t="s">
        <v>24</v>
      </c>
      <c r="I138" t="s">
        <v>25</v>
      </c>
      <c r="J138" t="s">
        <v>26</v>
      </c>
      <c r="K138" t="s">
        <v>26</v>
      </c>
      <c r="L138" t="s">
        <v>27</v>
      </c>
      <c r="M138" t="s">
        <v>29</v>
      </c>
      <c r="N138" t="s">
        <v>29</v>
      </c>
      <c r="O138" t="s">
        <v>29</v>
      </c>
      <c r="P138" t="s">
        <v>20</v>
      </c>
      <c r="R138" t="s">
        <v>30</v>
      </c>
      <c r="S138" t="s">
        <v>31</v>
      </c>
      <c r="T138" t="s">
        <v>32</v>
      </c>
    </row>
    <row r="139" spans="1:20" x14ac:dyDescent="0.2">
      <c r="A139">
        <v>40052</v>
      </c>
      <c r="B139" t="s">
        <v>85</v>
      </c>
      <c r="C139">
        <v>2017</v>
      </c>
      <c r="D139" t="s">
        <v>50</v>
      </c>
      <c r="E139">
        <v>2581007</v>
      </c>
      <c r="F139">
        <v>2581412</v>
      </c>
      <c r="G139" t="s">
        <v>34</v>
      </c>
      <c r="H139" t="s">
        <v>24</v>
      </c>
      <c r="I139" t="s">
        <v>25</v>
      </c>
      <c r="J139" t="s">
        <v>35</v>
      </c>
      <c r="K139" t="s">
        <v>51</v>
      </c>
      <c r="L139" t="s">
        <v>27</v>
      </c>
      <c r="M139" t="s">
        <v>29</v>
      </c>
      <c r="N139" t="s">
        <v>29</v>
      </c>
      <c r="O139" t="s">
        <v>29</v>
      </c>
      <c r="P139" t="s">
        <v>37</v>
      </c>
      <c r="Q139" t="s">
        <v>127</v>
      </c>
      <c r="R139" t="s">
        <v>30</v>
      </c>
      <c r="S139" t="s">
        <v>31</v>
      </c>
      <c r="T139" t="s">
        <v>32</v>
      </c>
    </row>
    <row r="140" spans="1:20" x14ac:dyDescent="0.2">
      <c r="A140">
        <v>40053</v>
      </c>
      <c r="B140" t="s">
        <v>131</v>
      </c>
      <c r="C140">
        <v>2008</v>
      </c>
      <c r="D140" t="s">
        <v>22</v>
      </c>
      <c r="E140">
        <v>5207060</v>
      </c>
      <c r="F140">
        <v>5207265</v>
      </c>
      <c r="G140" t="s">
        <v>23</v>
      </c>
      <c r="H140" t="s">
        <v>24</v>
      </c>
      <c r="I140" t="s">
        <v>25</v>
      </c>
      <c r="J140" t="s">
        <v>35</v>
      </c>
      <c r="K140" t="s">
        <v>51</v>
      </c>
      <c r="L140" t="s">
        <v>27</v>
      </c>
      <c r="M140" t="s">
        <v>29</v>
      </c>
      <c r="N140" t="s">
        <v>29</v>
      </c>
      <c r="O140" t="s">
        <v>29</v>
      </c>
      <c r="P140" t="s">
        <v>20</v>
      </c>
      <c r="R140" t="s">
        <v>30</v>
      </c>
      <c r="S140" t="s">
        <v>31</v>
      </c>
      <c r="T140" t="s">
        <v>32</v>
      </c>
    </row>
    <row r="141" spans="1:20" x14ac:dyDescent="0.2">
      <c r="A141">
        <v>40054</v>
      </c>
      <c r="B141" t="s">
        <v>131</v>
      </c>
      <c r="C141">
        <v>2008</v>
      </c>
      <c r="D141" t="s">
        <v>22</v>
      </c>
      <c r="E141">
        <v>2607370</v>
      </c>
      <c r="F141">
        <v>2607646</v>
      </c>
      <c r="G141" t="s">
        <v>23</v>
      </c>
      <c r="H141" t="s">
        <v>24</v>
      </c>
      <c r="I141" t="s">
        <v>25</v>
      </c>
      <c r="J141" t="s">
        <v>26</v>
      </c>
      <c r="K141" t="s">
        <v>26</v>
      </c>
      <c r="L141" t="s">
        <v>27</v>
      </c>
      <c r="M141" t="s">
        <v>53</v>
      </c>
      <c r="N141" t="s">
        <v>53</v>
      </c>
      <c r="O141" t="s">
        <v>29</v>
      </c>
      <c r="P141" t="s">
        <v>37</v>
      </c>
      <c r="Q141" t="s">
        <v>40</v>
      </c>
      <c r="R141" t="s">
        <v>30</v>
      </c>
      <c r="S141" t="s">
        <v>31</v>
      </c>
      <c r="T141" t="s">
        <v>32</v>
      </c>
    </row>
    <row r="142" spans="1:20" x14ac:dyDescent="0.2">
      <c r="A142">
        <v>40055</v>
      </c>
      <c r="B142" t="s">
        <v>131</v>
      </c>
      <c r="C142">
        <v>2008</v>
      </c>
      <c r="D142" t="s">
        <v>22</v>
      </c>
      <c r="E142">
        <v>4368263</v>
      </c>
      <c r="F142">
        <v>4368634</v>
      </c>
      <c r="G142" t="s">
        <v>23</v>
      </c>
      <c r="H142" t="s">
        <v>24</v>
      </c>
      <c r="I142" t="s">
        <v>25</v>
      </c>
      <c r="J142" t="s">
        <v>26</v>
      </c>
      <c r="K142" t="s">
        <v>26</v>
      </c>
      <c r="L142" t="s">
        <v>27</v>
      </c>
      <c r="M142" t="s">
        <v>44</v>
      </c>
      <c r="N142" t="s">
        <v>29</v>
      </c>
      <c r="O142" t="s">
        <v>29</v>
      </c>
      <c r="P142" t="s">
        <v>20</v>
      </c>
      <c r="R142" t="s">
        <v>30</v>
      </c>
      <c r="S142" t="s">
        <v>31</v>
      </c>
      <c r="T142" t="s">
        <v>98</v>
      </c>
    </row>
    <row r="143" spans="1:20" x14ac:dyDescent="0.2">
      <c r="A143">
        <v>40057</v>
      </c>
      <c r="B143" t="s">
        <v>88</v>
      </c>
      <c r="C143">
        <v>2017</v>
      </c>
      <c r="D143" t="s">
        <v>50</v>
      </c>
      <c r="E143">
        <v>3194031</v>
      </c>
      <c r="F143">
        <v>3194319</v>
      </c>
      <c r="G143" t="s">
        <v>23</v>
      </c>
      <c r="H143" t="s">
        <v>24</v>
      </c>
      <c r="I143" t="s">
        <v>25</v>
      </c>
      <c r="J143" t="s">
        <v>68</v>
      </c>
      <c r="K143" t="s">
        <v>62</v>
      </c>
      <c r="L143" t="s">
        <v>27</v>
      </c>
      <c r="M143" t="s">
        <v>53</v>
      </c>
      <c r="N143" t="s">
        <v>53</v>
      </c>
      <c r="O143" t="s">
        <v>53</v>
      </c>
      <c r="P143" t="s">
        <v>37</v>
      </c>
      <c r="Q143" t="s">
        <v>170</v>
      </c>
      <c r="R143" t="s">
        <v>30</v>
      </c>
      <c r="S143" t="s">
        <v>31</v>
      </c>
      <c r="T143" t="s">
        <v>32</v>
      </c>
    </row>
    <row r="144" spans="1:20" x14ac:dyDescent="0.2">
      <c r="A144">
        <v>40058</v>
      </c>
      <c r="B144" t="s">
        <v>47</v>
      </c>
      <c r="C144">
        <v>2013</v>
      </c>
      <c r="D144" t="s">
        <v>42</v>
      </c>
      <c r="E144">
        <v>1915702</v>
      </c>
      <c r="F144">
        <v>1915933</v>
      </c>
      <c r="G144" t="s">
        <v>23</v>
      </c>
      <c r="H144" t="s">
        <v>24</v>
      </c>
      <c r="I144" t="s">
        <v>25</v>
      </c>
      <c r="J144" t="s">
        <v>26</v>
      </c>
      <c r="K144" t="s">
        <v>26</v>
      </c>
      <c r="L144" t="s">
        <v>27</v>
      </c>
      <c r="M144" t="s">
        <v>44</v>
      </c>
      <c r="N144" t="s">
        <v>44</v>
      </c>
      <c r="O144" t="s">
        <v>44</v>
      </c>
      <c r="P144" t="s">
        <v>20</v>
      </c>
      <c r="R144" t="s">
        <v>30</v>
      </c>
      <c r="S144" t="s">
        <v>31</v>
      </c>
      <c r="T144" t="s">
        <v>32</v>
      </c>
    </row>
    <row r="145" spans="1:20" x14ac:dyDescent="0.2">
      <c r="A145">
        <v>40059</v>
      </c>
      <c r="B145" t="s">
        <v>107</v>
      </c>
      <c r="C145">
        <v>2018</v>
      </c>
      <c r="D145" t="s">
        <v>50</v>
      </c>
      <c r="E145">
        <v>5824057</v>
      </c>
      <c r="F145">
        <v>5824243</v>
      </c>
      <c r="G145" t="s">
        <v>23</v>
      </c>
      <c r="H145" t="s">
        <v>24</v>
      </c>
      <c r="I145" t="s">
        <v>25</v>
      </c>
      <c r="J145" t="s">
        <v>26</v>
      </c>
      <c r="K145" t="s">
        <v>51</v>
      </c>
      <c r="L145" t="s">
        <v>27</v>
      </c>
      <c r="M145" t="s">
        <v>44</v>
      </c>
      <c r="N145" t="s">
        <v>44</v>
      </c>
      <c r="O145" t="s">
        <v>44</v>
      </c>
      <c r="P145" t="s">
        <v>20</v>
      </c>
      <c r="R145" t="s">
        <v>30</v>
      </c>
      <c r="S145" t="s">
        <v>31</v>
      </c>
      <c r="T145" t="s">
        <v>32</v>
      </c>
    </row>
    <row r="146" spans="1:20" x14ac:dyDescent="0.2">
      <c r="A146">
        <v>40060</v>
      </c>
      <c r="B146" t="s">
        <v>21</v>
      </c>
      <c r="C146">
        <v>2007</v>
      </c>
      <c r="D146" t="s">
        <v>22</v>
      </c>
      <c r="E146">
        <v>227463</v>
      </c>
      <c r="F146">
        <v>227979</v>
      </c>
      <c r="G146" t="s">
        <v>23</v>
      </c>
      <c r="H146" t="s">
        <v>24</v>
      </c>
      <c r="I146" t="s">
        <v>25</v>
      </c>
      <c r="J146" t="s">
        <v>26</v>
      </c>
      <c r="K146" t="s">
        <v>26</v>
      </c>
      <c r="L146" t="s">
        <v>27</v>
      </c>
      <c r="M146" t="s">
        <v>29</v>
      </c>
      <c r="N146" t="s">
        <v>29</v>
      </c>
      <c r="O146" t="s">
        <v>29</v>
      </c>
      <c r="P146" t="s">
        <v>20</v>
      </c>
      <c r="R146" t="s">
        <v>30</v>
      </c>
      <c r="S146" t="s">
        <v>31</v>
      </c>
      <c r="T146" t="s">
        <v>32</v>
      </c>
    </row>
    <row r="147" spans="1:20" x14ac:dyDescent="0.2">
      <c r="A147">
        <v>40061</v>
      </c>
      <c r="B147" t="s">
        <v>85</v>
      </c>
      <c r="C147">
        <v>2017</v>
      </c>
      <c r="D147" t="s">
        <v>50</v>
      </c>
      <c r="E147">
        <v>224501</v>
      </c>
      <c r="F147">
        <v>224803</v>
      </c>
      <c r="G147" t="s">
        <v>23</v>
      </c>
      <c r="H147" t="s">
        <v>24</v>
      </c>
      <c r="I147" t="s">
        <v>25</v>
      </c>
      <c r="J147" t="s">
        <v>26</v>
      </c>
      <c r="K147" t="s">
        <v>69</v>
      </c>
      <c r="L147" t="s">
        <v>27</v>
      </c>
      <c r="M147" t="s">
        <v>29</v>
      </c>
      <c r="N147" t="s">
        <v>29</v>
      </c>
      <c r="O147" t="s">
        <v>29</v>
      </c>
      <c r="P147" t="s">
        <v>20</v>
      </c>
      <c r="R147" t="s">
        <v>30</v>
      </c>
      <c r="S147" t="s">
        <v>31</v>
      </c>
      <c r="T147" t="s">
        <v>32</v>
      </c>
    </row>
    <row r="148" spans="1:20" x14ac:dyDescent="0.2">
      <c r="A148">
        <v>40062</v>
      </c>
      <c r="B148" t="s">
        <v>125</v>
      </c>
      <c r="C148">
        <v>2007</v>
      </c>
      <c r="D148" t="s">
        <v>22</v>
      </c>
      <c r="E148">
        <v>4544549</v>
      </c>
      <c r="F148">
        <v>4545052</v>
      </c>
      <c r="G148" t="s">
        <v>23</v>
      </c>
      <c r="H148" t="s">
        <v>24</v>
      </c>
      <c r="I148" t="s">
        <v>109</v>
      </c>
      <c r="J148" t="s">
        <v>26</v>
      </c>
      <c r="K148" t="s">
        <v>62</v>
      </c>
      <c r="L148" t="s">
        <v>89</v>
      </c>
      <c r="M148" t="s">
        <v>29</v>
      </c>
      <c r="N148" t="s">
        <v>29</v>
      </c>
      <c r="O148" t="s">
        <v>29</v>
      </c>
      <c r="P148" t="s">
        <v>20</v>
      </c>
      <c r="R148" t="s">
        <v>46</v>
      </c>
      <c r="S148" t="s">
        <v>31</v>
      </c>
      <c r="T148" t="s">
        <v>32</v>
      </c>
    </row>
    <row r="149" spans="1:20" x14ac:dyDescent="0.2">
      <c r="A149">
        <v>40063</v>
      </c>
      <c r="B149" t="s">
        <v>128</v>
      </c>
      <c r="C149">
        <v>2008</v>
      </c>
      <c r="D149" t="s">
        <v>22</v>
      </c>
      <c r="E149">
        <v>648732</v>
      </c>
      <c r="F149">
        <v>649410</v>
      </c>
      <c r="G149" t="s">
        <v>23</v>
      </c>
      <c r="H149" t="s">
        <v>24</v>
      </c>
      <c r="I149" t="s">
        <v>109</v>
      </c>
      <c r="J149" t="s">
        <v>26</v>
      </c>
      <c r="K149" t="s">
        <v>26</v>
      </c>
      <c r="L149" t="s">
        <v>27</v>
      </c>
      <c r="M149" t="s">
        <v>44</v>
      </c>
      <c r="N149" t="s">
        <v>44</v>
      </c>
      <c r="O149" t="s">
        <v>44</v>
      </c>
      <c r="P149" t="s">
        <v>45</v>
      </c>
      <c r="R149" t="s">
        <v>30</v>
      </c>
      <c r="S149" t="s">
        <v>31</v>
      </c>
      <c r="T149" t="s">
        <v>32</v>
      </c>
    </row>
    <row r="150" spans="1:20" x14ac:dyDescent="0.2">
      <c r="A150">
        <v>40064</v>
      </c>
      <c r="B150" t="s">
        <v>128</v>
      </c>
      <c r="C150">
        <v>2008</v>
      </c>
      <c r="D150" t="s">
        <v>22</v>
      </c>
      <c r="E150">
        <v>2413145</v>
      </c>
      <c r="F150">
        <v>2413513</v>
      </c>
      <c r="G150" t="s">
        <v>23</v>
      </c>
      <c r="H150" t="s">
        <v>24</v>
      </c>
      <c r="I150" t="s">
        <v>109</v>
      </c>
      <c r="J150" t="s">
        <v>69</v>
      </c>
      <c r="K150" t="s">
        <v>69</v>
      </c>
      <c r="L150" t="s">
        <v>27</v>
      </c>
      <c r="M150" t="s">
        <v>44</v>
      </c>
      <c r="N150" t="s">
        <v>44</v>
      </c>
      <c r="O150" t="s">
        <v>44</v>
      </c>
      <c r="P150" t="s">
        <v>20</v>
      </c>
      <c r="R150" t="s">
        <v>46</v>
      </c>
      <c r="S150" t="s">
        <v>31</v>
      </c>
      <c r="T150" t="s">
        <v>32</v>
      </c>
    </row>
    <row r="151" spans="1:20" x14ac:dyDescent="0.2">
      <c r="A151">
        <v>40065</v>
      </c>
      <c r="B151" t="s">
        <v>128</v>
      </c>
      <c r="C151">
        <v>2008</v>
      </c>
      <c r="D151" t="s">
        <v>22</v>
      </c>
      <c r="E151">
        <v>3610235</v>
      </c>
      <c r="F151">
        <v>3610603</v>
      </c>
      <c r="G151" t="s">
        <v>23</v>
      </c>
      <c r="H151" t="s">
        <v>24</v>
      </c>
      <c r="I151" t="s">
        <v>109</v>
      </c>
      <c r="J151" t="s">
        <v>26</v>
      </c>
      <c r="K151" t="s">
        <v>69</v>
      </c>
      <c r="L151" t="s">
        <v>27</v>
      </c>
      <c r="M151" t="s">
        <v>44</v>
      </c>
      <c r="N151" t="s">
        <v>44</v>
      </c>
      <c r="O151" t="s">
        <v>44</v>
      </c>
      <c r="P151" t="s">
        <v>45</v>
      </c>
      <c r="R151" t="s">
        <v>30</v>
      </c>
      <c r="S151" t="s">
        <v>31</v>
      </c>
      <c r="T151" t="s">
        <v>32</v>
      </c>
    </row>
    <row r="152" spans="1:20" x14ac:dyDescent="0.2">
      <c r="A152">
        <v>40066</v>
      </c>
      <c r="B152" t="s">
        <v>139</v>
      </c>
      <c r="C152">
        <v>2008</v>
      </c>
      <c r="D152" t="s">
        <v>22</v>
      </c>
      <c r="E152">
        <v>1368294</v>
      </c>
      <c r="F152">
        <v>1368624</v>
      </c>
      <c r="G152" t="s">
        <v>23</v>
      </c>
      <c r="H152" t="s">
        <v>24</v>
      </c>
      <c r="I152" t="s">
        <v>73</v>
      </c>
      <c r="J152" t="s">
        <v>26</v>
      </c>
      <c r="K152" t="s">
        <v>51</v>
      </c>
      <c r="L152" t="s">
        <v>27</v>
      </c>
      <c r="M152" t="s">
        <v>29</v>
      </c>
      <c r="N152" t="s">
        <v>29</v>
      </c>
      <c r="O152" t="s">
        <v>29</v>
      </c>
      <c r="P152" t="s">
        <v>20</v>
      </c>
      <c r="R152" t="s">
        <v>77</v>
      </c>
      <c r="S152" t="s">
        <v>31</v>
      </c>
      <c r="T152" t="s">
        <v>32</v>
      </c>
    </row>
    <row r="153" spans="1:20" x14ac:dyDescent="0.2">
      <c r="A153">
        <v>40068</v>
      </c>
      <c r="B153" t="s">
        <v>88</v>
      </c>
      <c r="C153">
        <v>2017</v>
      </c>
      <c r="D153" t="s">
        <v>50</v>
      </c>
      <c r="E153">
        <v>1383793</v>
      </c>
      <c r="F153">
        <v>1384135</v>
      </c>
      <c r="G153" t="s">
        <v>23</v>
      </c>
      <c r="H153" t="s">
        <v>24</v>
      </c>
      <c r="I153" t="s">
        <v>109</v>
      </c>
      <c r="J153" t="s">
        <v>26</v>
      </c>
      <c r="K153" t="s">
        <v>69</v>
      </c>
      <c r="L153" t="s">
        <v>27</v>
      </c>
      <c r="M153" t="s">
        <v>29</v>
      </c>
      <c r="N153" t="s">
        <v>29</v>
      </c>
      <c r="O153" t="s">
        <v>53</v>
      </c>
      <c r="P153" t="s">
        <v>20</v>
      </c>
      <c r="R153" t="s">
        <v>46</v>
      </c>
      <c r="S153" t="s">
        <v>31</v>
      </c>
      <c r="T153" t="s">
        <v>32</v>
      </c>
    </row>
    <row r="154" spans="1:20" x14ac:dyDescent="0.2">
      <c r="A154">
        <v>40069</v>
      </c>
      <c r="B154" t="s">
        <v>104</v>
      </c>
      <c r="C154">
        <v>2017</v>
      </c>
      <c r="D154" t="s">
        <v>50</v>
      </c>
      <c r="E154">
        <v>2544962</v>
      </c>
      <c r="F154">
        <v>2545596</v>
      </c>
      <c r="G154" t="s">
        <v>23</v>
      </c>
      <c r="H154" t="s">
        <v>24</v>
      </c>
      <c r="I154" t="s">
        <v>73</v>
      </c>
      <c r="J154" t="s">
        <v>26</v>
      </c>
      <c r="K154" t="s">
        <v>62</v>
      </c>
      <c r="L154" t="s">
        <v>27</v>
      </c>
      <c r="M154" t="s">
        <v>53</v>
      </c>
      <c r="N154" t="s">
        <v>36</v>
      </c>
      <c r="O154" t="s">
        <v>53</v>
      </c>
      <c r="P154" t="s">
        <v>37</v>
      </c>
      <c r="Q154" t="s">
        <v>54</v>
      </c>
      <c r="R154" t="s">
        <v>77</v>
      </c>
      <c r="S154" t="s">
        <v>31</v>
      </c>
      <c r="T154" t="s">
        <v>32</v>
      </c>
    </row>
    <row r="155" spans="1:20" x14ac:dyDescent="0.2">
      <c r="A155">
        <v>40070</v>
      </c>
      <c r="B155" t="s">
        <v>85</v>
      </c>
      <c r="C155">
        <v>2017</v>
      </c>
      <c r="D155" t="s">
        <v>50</v>
      </c>
      <c r="E155">
        <v>1208650</v>
      </c>
      <c r="F155">
        <v>1209253</v>
      </c>
      <c r="G155" t="s">
        <v>23</v>
      </c>
      <c r="H155" t="s">
        <v>24</v>
      </c>
      <c r="I155" t="s">
        <v>109</v>
      </c>
      <c r="J155" t="s">
        <v>51</v>
      </c>
      <c r="K155" t="s">
        <v>51</v>
      </c>
      <c r="L155" t="s">
        <v>27</v>
      </c>
      <c r="M155" t="s">
        <v>29</v>
      </c>
      <c r="N155" t="s">
        <v>29</v>
      </c>
      <c r="O155" t="s">
        <v>29</v>
      </c>
      <c r="P155" t="s">
        <v>20</v>
      </c>
      <c r="R155" t="s">
        <v>46</v>
      </c>
      <c r="S155" t="s">
        <v>31</v>
      </c>
      <c r="T155" t="s">
        <v>32</v>
      </c>
    </row>
    <row r="156" spans="1:20" x14ac:dyDescent="0.2">
      <c r="A156">
        <v>40071</v>
      </c>
      <c r="B156" t="s">
        <v>107</v>
      </c>
      <c r="C156">
        <v>2018</v>
      </c>
      <c r="D156" t="s">
        <v>50</v>
      </c>
      <c r="E156">
        <v>4486874</v>
      </c>
      <c r="F156">
        <v>4487243</v>
      </c>
      <c r="G156" t="s">
        <v>23</v>
      </c>
      <c r="H156" t="s">
        <v>24</v>
      </c>
      <c r="I156" t="s">
        <v>73</v>
      </c>
      <c r="J156" t="s">
        <v>26</v>
      </c>
      <c r="K156" t="s">
        <v>26</v>
      </c>
      <c r="L156" t="s">
        <v>27</v>
      </c>
      <c r="M156" t="s">
        <v>29</v>
      </c>
      <c r="N156" t="s">
        <v>53</v>
      </c>
      <c r="O156" t="s">
        <v>53</v>
      </c>
      <c r="P156" t="s">
        <v>20</v>
      </c>
      <c r="R156" t="s">
        <v>77</v>
      </c>
      <c r="S156" t="s">
        <v>31</v>
      </c>
      <c r="T156" t="s">
        <v>32</v>
      </c>
    </row>
    <row r="157" spans="1:20" x14ac:dyDescent="0.2">
      <c r="A157">
        <v>40072</v>
      </c>
      <c r="B157" t="s">
        <v>21</v>
      </c>
      <c r="C157">
        <v>2007</v>
      </c>
      <c r="D157" t="s">
        <v>22</v>
      </c>
      <c r="E157">
        <v>735652</v>
      </c>
      <c r="F157">
        <v>736127</v>
      </c>
      <c r="G157" t="s">
        <v>23</v>
      </c>
      <c r="H157" t="s">
        <v>24</v>
      </c>
      <c r="I157" t="s">
        <v>73</v>
      </c>
      <c r="J157" t="s">
        <v>26</v>
      </c>
      <c r="K157" t="s">
        <v>26</v>
      </c>
      <c r="L157" t="s">
        <v>27</v>
      </c>
      <c r="M157" t="s">
        <v>29</v>
      </c>
      <c r="N157" t="s">
        <v>53</v>
      </c>
      <c r="O157" t="s">
        <v>53</v>
      </c>
      <c r="P157" t="s">
        <v>37</v>
      </c>
      <c r="Q157" t="s">
        <v>66</v>
      </c>
      <c r="R157" t="s">
        <v>77</v>
      </c>
      <c r="S157" t="s">
        <v>31</v>
      </c>
      <c r="T157" t="s">
        <v>32</v>
      </c>
    </row>
    <row r="158" spans="1:20" x14ac:dyDescent="0.2">
      <c r="A158">
        <v>40073</v>
      </c>
      <c r="B158" t="s">
        <v>92</v>
      </c>
      <c r="C158">
        <v>2017</v>
      </c>
      <c r="D158" t="s">
        <v>50</v>
      </c>
      <c r="E158">
        <v>1684170</v>
      </c>
      <c r="F158">
        <v>1684613</v>
      </c>
      <c r="G158" t="s">
        <v>23</v>
      </c>
      <c r="H158" t="s">
        <v>24</v>
      </c>
      <c r="I158" t="s">
        <v>73</v>
      </c>
      <c r="J158" t="s">
        <v>26</v>
      </c>
      <c r="K158" t="s">
        <v>69</v>
      </c>
      <c r="L158" t="s">
        <v>63</v>
      </c>
      <c r="M158" t="s">
        <v>36</v>
      </c>
      <c r="N158" t="s">
        <v>29</v>
      </c>
      <c r="O158" t="s">
        <v>29</v>
      </c>
      <c r="P158" t="s">
        <v>37</v>
      </c>
      <c r="Q158" t="s">
        <v>127</v>
      </c>
      <c r="R158" t="s">
        <v>77</v>
      </c>
      <c r="S158" t="s">
        <v>31</v>
      </c>
      <c r="T158" t="s">
        <v>32</v>
      </c>
    </row>
    <row r="159" spans="1:20" x14ac:dyDescent="0.2">
      <c r="A159">
        <v>40074</v>
      </c>
      <c r="B159" t="s">
        <v>102</v>
      </c>
      <c r="C159">
        <v>2017</v>
      </c>
      <c r="D159" t="s">
        <v>50</v>
      </c>
      <c r="E159">
        <v>993562</v>
      </c>
      <c r="F159">
        <v>993972</v>
      </c>
      <c r="G159" t="s">
        <v>23</v>
      </c>
      <c r="H159" t="s">
        <v>24</v>
      </c>
      <c r="I159" t="s">
        <v>73</v>
      </c>
      <c r="J159" t="s">
        <v>26</v>
      </c>
      <c r="K159" t="s">
        <v>69</v>
      </c>
      <c r="L159" t="s">
        <v>27</v>
      </c>
      <c r="M159" t="s">
        <v>53</v>
      </c>
      <c r="N159" t="s">
        <v>53</v>
      </c>
      <c r="O159" t="s">
        <v>53</v>
      </c>
      <c r="P159" t="s">
        <v>37</v>
      </c>
      <c r="Q159" t="s">
        <v>54</v>
      </c>
      <c r="R159" t="s">
        <v>77</v>
      </c>
      <c r="S159" t="s">
        <v>31</v>
      </c>
      <c r="T159" t="s">
        <v>32</v>
      </c>
    </row>
    <row r="160" spans="1:20" x14ac:dyDescent="0.2">
      <c r="A160">
        <v>40075</v>
      </c>
      <c r="B160" t="s">
        <v>102</v>
      </c>
      <c r="C160">
        <v>2017</v>
      </c>
      <c r="D160" t="s">
        <v>50</v>
      </c>
      <c r="E160">
        <v>634318</v>
      </c>
      <c r="F160">
        <v>634703</v>
      </c>
      <c r="G160" t="s">
        <v>23</v>
      </c>
      <c r="H160" t="s">
        <v>24</v>
      </c>
      <c r="I160" t="s">
        <v>73</v>
      </c>
      <c r="J160" t="s">
        <v>35</v>
      </c>
      <c r="K160" t="s">
        <v>69</v>
      </c>
      <c r="L160" t="s">
        <v>27</v>
      </c>
      <c r="M160" t="s">
        <v>44</v>
      </c>
      <c r="N160" t="s">
        <v>53</v>
      </c>
      <c r="O160" t="s">
        <v>53</v>
      </c>
      <c r="P160" t="s">
        <v>20</v>
      </c>
      <c r="R160" t="s">
        <v>77</v>
      </c>
      <c r="S160" t="s">
        <v>31</v>
      </c>
      <c r="T160" t="s">
        <v>32</v>
      </c>
    </row>
    <row r="161" spans="1:20" x14ac:dyDescent="0.2">
      <c r="A161">
        <v>40076</v>
      </c>
      <c r="B161" t="s">
        <v>102</v>
      </c>
      <c r="C161">
        <v>2017</v>
      </c>
      <c r="D161" t="s">
        <v>50</v>
      </c>
      <c r="E161">
        <v>2150089</v>
      </c>
      <c r="F161">
        <v>2150697</v>
      </c>
      <c r="G161" t="s">
        <v>23</v>
      </c>
      <c r="H161" t="s">
        <v>24</v>
      </c>
      <c r="I161" t="s">
        <v>73</v>
      </c>
      <c r="J161" t="s">
        <v>26</v>
      </c>
      <c r="K161" t="s">
        <v>51</v>
      </c>
      <c r="L161" t="s">
        <v>27</v>
      </c>
      <c r="M161" t="s">
        <v>53</v>
      </c>
      <c r="N161" t="s">
        <v>53</v>
      </c>
      <c r="O161" t="s">
        <v>53</v>
      </c>
      <c r="P161" t="s">
        <v>20</v>
      </c>
      <c r="R161" t="s">
        <v>77</v>
      </c>
      <c r="S161" t="s">
        <v>31</v>
      </c>
      <c r="T161" t="s">
        <v>32</v>
      </c>
    </row>
    <row r="162" spans="1:20" x14ac:dyDescent="0.2">
      <c r="A162">
        <v>40077</v>
      </c>
      <c r="B162" t="s">
        <v>83</v>
      </c>
      <c r="C162">
        <v>2017</v>
      </c>
      <c r="D162" t="s">
        <v>50</v>
      </c>
      <c r="E162">
        <v>2220159</v>
      </c>
      <c r="F162">
        <v>2220719</v>
      </c>
      <c r="G162" t="s">
        <v>23</v>
      </c>
      <c r="H162" t="s">
        <v>24</v>
      </c>
      <c r="I162" t="s">
        <v>73</v>
      </c>
      <c r="J162" t="s">
        <v>62</v>
      </c>
      <c r="K162" t="s">
        <v>51</v>
      </c>
      <c r="L162" t="s">
        <v>27</v>
      </c>
      <c r="M162" t="s">
        <v>53</v>
      </c>
      <c r="N162" t="s">
        <v>53</v>
      </c>
      <c r="O162" t="s">
        <v>53</v>
      </c>
      <c r="P162" t="s">
        <v>37</v>
      </c>
      <c r="Q162" t="s">
        <v>54</v>
      </c>
      <c r="R162" t="s">
        <v>77</v>
      </c>
      <c r="S162" t="s">
        <v>31</v>
      </c>
      <c r="T162" t="s">
        <v>32</v>
      </c>
    </row>
    <row r="163" spans="1:20" x14ac:dyDescent="0.2">
      <c r="A163">
        <v>40078</v>
      </c>
      <c r="B163" t="s">
        <v>83</v>
      </c>
      <c r="C163">
        <v>2017</v>
      </c>
      <c r="D163" t="s">
        <v>50</v>
      </c>
      <c r="E163">
        <v>2732244</v>
      </c>
      <c r="F163">
        <v>2732648</v>
      </c>
      <c r="G163" t="s">
        <v>23</v>
      </c>
      <c r="H163" t="s">
        <v>24</v>
      </c>
      <c r="I163" t="s">
        <v>73</v>
      </c>
      <c r="J163" t="s">
        <v>62</v>
      </c>
      <c r="K163" t="s">
        <v>26</v>
      </c>
      <c r="L163" t="s">
        <v>27</v>
      </c>
      <c r="M163" t="s">
        <v>53</v>
      </c>
      <c r="N163" t="s">
        <v>53</v>
      </c>
      <c r="O163" t="s">
        <v>53</v>
      </c>
      <c r="P163" t="s">
        <v>20</v>
      </c>
      <c r="R163" t="s">
        <v>77</v>
      </c>
      <c r="S163" t="s">
        <v>31</v>
      </c>
      <c r="T163" t="s">
        <v>32</v>
      </c>
    </row>
    <row r="164" spans="1:20" x14ac:dyDescent="0.2">
      <c r="A164">
        <v>40079</v>
      </c>
      <c r="B164" t="s">
        <v>107</v>
      </c>
      <c r="C164">
        <v>2018</v>
      </c>
      <c r="D164" t="s">
        <v>50</v>
      </c>
      <c r="E164">
        <v>4029037</v>
      </c>
      <c r="F164">
        <v>4029461</v>
      </c>
      <c r="G164" t="s">
        <v>23</v>
      </c>
      <c r="H164" t="s">
        <v>24</v>
      </c>
      <c r="I164" t="s">
        <v>73</v>
      </c>
      <c r="J164" t="s">
        <v>26</v>
      </c>
      <c r="K164" t="s">
        <v>69</v>
      </c>
      <c r="L164" t="s">
        <v>27</v>
      </c>
      <c r="M164" t="s">
        <v>29</v>
      </c>
      <c r="N164" t="s">
        <v>29</v>
      </c>
      <c r="O164" t="s">
        <v>29</v>
      </c>
      <c r="P164" t="s">
        <v>20</v>
      </c>
      <c r="R164" t="s">
        <v>77</v>
      </c>
      <c r="S164" t="s">
        <v>31</v>
      </c>
      <c r="T164" t="s">
        <v>32</v>
      </c>
    </row>
    <row r="165" spans="1:20" x14ac:dyDescent="0.2">
      <c r="A165">
        <v>40080</v>
      </c>
      <c r="B165" t="s">
        <v>128</v>
      </c>
      <c r="C165">
        <v>2008</v>
      </c>
      <c r="D165" t="s">
        <v>22</v>
      </c>
      <c r="E165">
        <v>3550329</v>
      </c>
      <c r="F165">
        <v>3550789</v>
      </c>
      <c r="G165" t="s">
        <v>23</v>
      </c>
      <c r="H165" t="s">
        <v>24</v>
      </c>
      <c r="I165" t="s">
        <v>73</v>
      </c>
      <c r="J165" t="s">
        <v>26</v>
      </c>
      <c r="K165" t="s">
        <v>51</v>
      </c>
      <c r="L165" t="s">
        <v>27</v>
      </c>
      <c r="M165" t="s">
        <v>44</v>
      </c>
      <c r="N165" t="s">
        <v>44</v>
      </c>
      <c r="O165" t="s">
        <v>44</v>
      </c>
      <c r="P165" t="s">
        <v>45</v>
      </c>
      <c r="R165" t="s">
        <v>77</v>
      </c>
      <c r="S165" t="s">
        <v>31</v>
      </c>
      <c r="T165" t="s">
        <v>32</v>
      </c>
    </row>
    <row r="166" spans="1:20" x14ac:dyDescent="0.2">
      <c r="A166">
        <v>40081</v>
      </c>
      <c r="B166" t="s">
        <v>33</v>
      </c>
      <c r="C166">
        <v>2007</v>
      </c>
      <c r="D166" t="s">
        <v>22</v>
      </c>
      <c r="E166">
        <v>1123280</v>
      </c>
      <c r="F166">
        <v>1123632</v>
      </c>
      <c r="G166" t="s">
        <v>23</v>
      </c>
      <c r="H166" t="s">
        <v>24</v>
      </c>
      <c r="I166" t="s">
        <v>25</v>
      </c>
      <c r="J166" t="s">
        <v>26</v>
      </c>
      <c r="K166" t="s">
        <v>26</v>
      </c>
      <c r="L166" t="s">
        <v>27</v>
      </c>
      <c r="M166" t="s">
        <v>29</v>
      </c>
      <c r="N166" t="s">
        <v>29</v>
      </c>
      <c r="O166" t="s">
        <v>29</v>
      </c>
      <c r="P166" t="s">
        <v>20</v>
      </c>
      <c r="R166" t="s">
        <v>77</v>
      </c>
      <c r="S166" t="s">
        <v>31</v>
      </c>
      <c r="T166" t="s">
        <v>32</v>
      </c>
    </row>
    <row r="167" spans="1:20" x14ac:dyDescent="0.2">
      <c r="A167">
        <v>40082</v>
      </c>
      <c r="B167" t="s">
        <v>71</v>
      </c>
      <c r="C167">
        <v>2009</v>
      </c>
      <c r="D167" t="s">
        <v>22</v>
      </c>
      <c r="E167">
        <v>1917669</v>
      </c>
      <c r="F167">
        <v>1919035</v>
      </c>
      <c r="G167" t="s">
        <v>23</v>
      </c>
      <c r="H167" t="s">
        <v>24</v>
      </c>
      <c r="I167" t="s">
        <v>73</v>
      </c>
      <c r="J167" t="s">
        <v>26</v>
      </c>
      <c r="K167" t="s">
        <v>62</v>
      </c>
      <c r="L167" t="s">
        <v>27</v>
      </c>
      <c r="M167" t="s">
        <v>44</v>
      </c>
      <c r="N167" t="s">
        <v>44</v>
      </c>
      <c r="O167" t="s">
        <v>44</v>
      </c>
      <c r="P167" t="s">
        <v>20</v>
      </c>
      <c r="R167" t="s">
        <v>77</v>
      </c>
      <c r="S167" t="s">
        <v>31</v>
      </c>
      <c r="T167" t="s">
        <v>32</v>
      </c>
    </row>
    <row r="168" spans="1:20" x14ac:dyDescent="0.2">
      <c r="A168">
        <v>40083</v>
      </c>
      <c r="B168" t="s">
        <v>61</v>
      </c>
      <c r="C168">
        <v>2007</v>
      </c>
      <c r="D168" t="s">
        <v>42</v>
      </c>
      <c r="E168">
        <v>1945345</v>
      </c>
      <c r="F168">
        <v>1945856</v>
      </c>
      <c r="G168" t="s">
        <v>23</v>
      </c>
      <c r="H168" t="s">
        <v>24</v>
      </c>
      <c r="I168" t="s">
        <v>73</v>
      </c>
      <c r="J168" t="s">
        <v>26</v>
      </c>
      <c r="K168" t="s">
        <v>26</v>
      </c>
      <c r="L168" t="s">
        <v>27</v>
      </c>
      <c r="M168" t="s">
        <v>44</v>
      </c>
      <c r="N168" t="s">
        <v>44</v>
      </c>
      <c r="O168" t="s">
        <v>44</v>
      </c>
      <c r="P168" t="s">
        <v>45</v>
      </c>
      <c r="R168" t="s">
        <v>77</v>
      </c>
      <c r="S168" t="s">
        <v>31</v>
      </c>
      <c r="T168" t="s">
        <v>32</v>
      </c>
    </row>
    <row r="169" spans="1:20" x14ac:dyDescent="0.2">
      <c r="A169">
        <v>40084</v>
      </c>
      <c r="B169" t="s">
        <v>85</v>
      </c>
      <c r="C169">
        <v>2017</v>
      </c>
      <c r="D169" t="s">
        <v>50</v>
      </c>
      <c r="E169">
        <v>4095156</v>
      </c>
      <c r="F169">
        <v>4095442</v>
      </c>
      <c r="G169" t="s">
        <v>23</v>
      </c>
      <c r="H169" t="s">
        <v>24</v>
      </c>
      <c r="I169" t="s">
        <v>73</v>
      </c>
      <c r="J169" t="s">
        <v>35</v>
      </c>
      <c r="K169" t="s">
        <v>51</v>
      </c>
      <c r="L169" t="s">
        <v>89</v>
      </c>
      <c r="M169" t="s">
        <v>36</v>
      </c>
      <c r="N169" t="s">
        <v>29</v>
      </c>
      <c r="O169" t="s">
        <v>29</v>
      </c>
      <c r="P169" t="s">
        <v>20</v>
      </c>
      <c r="R169" t="s">
        <v>77</v>
      </c>
      <c r="S169" t="s">
        <v>31</v>
      </c>
      <c r="T169" t="s">
        <v>32</v>
      </c>
    </row>
    <row r="170" spans="1:20" x14ac:dyDescent="0.2">
      <c r="A170">
        <v>40085</v>
      </c>
      <c r="B170" t="s">
        <v>71</v>
      </c>
      <c r="C170">
        <v>2009</v>
      </c>
      <c r="D170" t="s">
        <v>22</v>
      </c>
      <c r="E170">
        <v>1655199</v>
      </c>
      <c r="F170">
        <v>1656108</v>
      </c>
      <c r="G170" t="s">
        <v>23</v>
      </c>
      <c r="H170" t="s">
        <v>24</v>
      </c>
      <c r="I170" t="s">
        <v>109</v>
      </c>
      <c r="J170" t="s">
        <v>26</v>
      </c>
      <c r="K170" t="s">
        <v>26</v>
      </c>
      <c r="L170" t="s">
        <v>27</v>
      </c>
      <c r="M170" t="s">
        <v>53</v>
      </c>
      <c r="N170" t="s">
        <v>53</v>
      </c>
      <c r="O170" t="s">
        <v>53</v>
      </c>
      <c r="P170" t="s">
        <v>37</v>
      </c>
      <c r="Q170" t="s">
        <v>170</v>
      </c>
      <c r="R170" t="s">
        <v>30</v>
      </c>
      <c r="S170" t="s">
        <v>31</v>
      </c>
      <c r="T170" t="s">
        <v>32</v>
      </c>
    </row>
    <row r="171" spans="1:20" x14ac:dyDescent="0.2">
      <c r="A171">
        <v>40086</v>
      </c>
      <c r="B171" t="s">
        <v>21</v>
      </c>
      <c r="C171">
        <v>2007</v>
      </c>
      <c r="D171" t="s">
        <v>22</v>
      </c>
      <c r="E171">
        <v>512389</v>
      </c>
      <c r="F171">
        <v>512790</v>
      </c>
      <c r="G171" t="s">
        <v>23</v>
      </c>
      <c r="H171" t="s">
        <v>24</v>
      </c>
      <c r="I171" t="s">
        <v>25</v>
      </c>
      <c r="J171" t="s">
        <v>35</v>
      </c>
      <c r="K171" t="s">
        <v>26</v>
      </c>
      <c r="L171" t="s">
        <v>27</v>
      </c>
      <c r="M171" t="s">
        <v>53</v>
      </c>
      <c r="N171" t="s">
        <v>29</v>
      </c>
      <c r="O171" t="s">
        <v>29</v>
      </c>
      <c r="P171" t="s">
        <v>20</v>
      </c>
      <c r="R171" t="s">
        <v>30</v>
      </c>
      <c r="S171" t="s">
        <v>31</v>
      </c>
      <c r="T171" t="s">
        <v>32</v>
      </c>
    </row>
    <row r="172" spans="1:20" x14ac:dyDescent="0.2">
      <c r="A172">
        <v>40087</v>
      </c>
      <c r="B172" t="s">
        <v>21</v>
      </c>
      <c r="C172">
        <v>2007</v>
      </c>
      <c r="D172" t="s">
        <v>22</v>
      </c>
      <c r="E172">
        <v>892523</v>
      </c>
      <c r="F172">
        <v>893447</v>
      </c>
      <c r="G172" t="s">
        <v>23</v>
      </c>
      <c r="H172" t="s">
        <v>24</v>
      </c>
      <c r="I172" t="s">
        <v>109</v>
      </c>
      <c r="J172" t="s">
        <v>26</v>
      </c>
      <c r="K172" t="s">
        <v>26</v>
      </c>
      <c r="L172" t="s">
        <v>27</v>
      </c>
      <c r="M172" t="s">
        <v>29</v>
      </c>
      <c r="N172" t="s">
        <v>29</v>
      </c>
      <c r="O172" t="s">
        <v>29</v>
      </c>
      <c r="P172" t="s">
        <v>37</v>
      </c>
      <c r="Q172" t="s">
        <v>76</v>
      </c>
      <c r="R172" t="s">
        <v>46</v>
      </c>
      <c r="S172" t="s">
        <v>31</v>
      </c>
      <c r="T172" t="s">
        <v>32</v>
      </c>
    </row>
    <row r="173" spans="1:20" x14ac:dyDescent="0.2">
      <c r="A173">
        <v>40088</v>
      </c>
      <c r="B173" t="s">
        <v>21</v>
      </c>
      <c r="C173">
        <v>2007</v>
      </c>
      <c r="D173" t="s">
        <v>22</v>
      </c>
      <c r="E173">
        <v>954847</v>
      </c>
      <c r="F173">
        <v>955584</v>
      </c>
      <c r="G173" t="s">
        <v>23</v>
      </c>
      <c r="H173" t="s">
        <v>24</v>
      </c>
      <c r="I173" t="s">
        <v>109</v>
      </c>
      <c r="J173" t="s">
        <v>26</v>
      </c>
      <c r="K173" t="s">
        <v>26</v>
      </c>
      <c r="L173" t="s">
        <v>27</v>
      </c>
      <c r="M173" t="s">
        <v>29</v>
      </c>
      <c r="N173" t="s">
        <v>29</v>
      </c>
      <c r="O173" t="s">
        <v>29</v>
      </c>
      <c r="P173" t="s">
        <v>37</v>
      </c>
      <c r="Q173" t="s">
        <v>66</v>
      </c>
      <c r="R173" t="s">
        <v>46</v>
      </c>
      <c r="S173" t="s">
        <v>31</v>
      </c>
      <c r="T173" t="s">
        <v>32</v>
      </c>
    </row>
    <row r="174" spans="1:20" x14ac:dyDescent="0.2">
      <c r="A174">
        <v>40089</v>
      </c>
      <c r="B174" t="s">
        <v>21</v>
      </c>
      <c r="C174">
        <v>2007</v>
      </c>
      <c r="D174" t="s">
        <v>22</v>
      </c>
      <c r="E174">
        <v>1090703</v>
      </c>
      <c r="F174">
        <v>1091268</v>
      </c>
      <c r="G174" t="s">
        <v>23</v>
      </c>
      <c r="H174" t="s">
        <v>24</v>
      </c>
      <c r="I174" t="s">
        <v>109</v>
      </c>
      <c r="J174" t="s">
        <v>26</v>
      </c>
      <c r="K174" t="s">
        <v>26</v>
      </c>
      <c r="L174" t="s">
        <v>27</v>
      </c>
      <c r="M174" t="s">
        <v>29</v>
      </c>
      <c r="N174" t="s">
        <v>29</v>
      </c>
      <c r="O174" t="s">
        <v>29</v>
      </c>
      <c r="P174" t="s">
        <v>37</v>
      </c>
      <c r="Q174" t="s">
        <v>127</v>
      </c>
      <c r="R174" t="s">
        <v>30</v>
      </c>
      <c r="S174" t="s">
        <v>31</v>
      </c>
      <c r="T174" t="s">
        <v>32</v>
      </c>
    </row>
    <row r="175" spans="1:20" x14ac:dyDescent="0.2">
      <c r="A175">
        <v>40090</v>
      </c>
      <c r="B175" t="s">
        <v>21</v>
      </c>
      <c r="C175">
        <v>2007</v>
      </c>
      <c r="D175" t="s">
        <v>22</v>
      </c>
      <c r="E175">
        <v>1102870</v>
      </c>
      <c r="F175">
        <v>1103608</v>
      </c>
      <c r="G175" t="s">
        <v>23</v>
      </c>
      <c r="H175" t="s">
        <v>24</v>
      </c>
      <c r="I175" t="s">
        <v>109</v>
      </c>
      <c r="J175" t="s">
        <v>26</v>
      </c>
      <c r="K175" t="s">
        <v>26</v>
      </c>
      <c r="L175" t="s">
        <v>27</v>
      </c>
      <c r="M175" t="s">
        <v>29</v>
      </c>
      <c r="N175" t="s">
        <v>29</v>
      </c>
      <c r="O175" t="s">
        <v>29</v>
      </c>
      <c r="P175" t="s">
        <v>20</v>
      </c>
      <c r="R175" t="s">
        <v>46</v>
      </c>
      <c r="S175" t="s">
        <v>31</v>
      </c>
      <c r="T175" t="s">
        <v>32</v>
      </c>
    </row>
    <row r="176" spans="1:20" x14ac:dyDescent="0.2">
      <c r="A176">
        <v>40091</v>
      </c>
      <c r="B176" t="s">
        <v>21</v>
      </c>
      <c r="C176">
        <v>2007</v>
      </c>
      <c r="D176" t="s">
        <v>22</v>
      </c>
      <c r="E176">
        <v>520271</v>
      </c>
      <c r="F176">
        <v>521079</v>
      </c>
      <c r="G176" t="s">
        <v>23</v>
      </c>
      <c r="H176" t="s">
        <v>24</v>
      </c>
      <c r="I176" t="s">
        <v>109</v>
      </c>
      <c r="J176" t="s">
        <v>26</v>
      </c>
      <c r="K176" t="s">
        <v>26</v>
      </c>
      <c r="L176" t="s">
        <v>27</v>
      </c>
      <c r="M176" t="s">
        <v>36</v>
      </c>
      <c r="N176" t="s">
        <v>36</v>
      </c>
      <c r="O176" t="s">
        <v>53</v>
      </c>
      <c r="P176" t="s">
        <v>20</v>
      </c>
      <c r="R176" t="s">
        <v>30</v>
      </c>
      <c r="S176" t="s">
        <v>31</v>
      </c>
      <c r="T176" t="s">
        <v>32</v>
      </c>
    </row>
    <row r="177" spans="1:20" x14ac:dyDescent="0.2">
      <c r="A177">
        <v>40092</v>
      </c>
      <c r="B177" t="s">
        <v>131</v>
      </c>
      <c r="C177">
        <v>2008</v>
      </c>
      <c r="D177" t="s">
        <v>22</v>
      </c>
      <c r="E177">
        <v>5208337</v>
      </c>
      <c r="F177">
        <v>5208547</v>
      </c>
      <c r="G177" t="s">
        <v>23</v>
      </c>
      <c r="H177" t="s">
        <v>24</v>
      </c>
      <c r="I177" t="s">
        <v>25</v>
      </c>
      <c r="J177" t="s">
        <v>35</v>
      </c>
      <c r="K177" t="s">
        <v>51</v>
      </c>
      <c r="L177" t="s">
        <v>27</v>
      </c>
      <c r="M177" t="s">
        <v>29</v>
      </c>
      <c r="N177" t="s">
        <v>29</v>
      </c>
      <c r="O177" t="s">
        <v>29</v>
      </c>
      <c r="P177" t="s">
        <v>20</v>
      </c>
      <c r="R177" t="s">
        <v>30</v>
      </c>
      <c r="S177" t="s">
        <v>31</v>
      </c>
      <c r="T177" t="s">
        <v>32</v>
      </c>
    </row>
    <row r="178" spans="1:20" x14ac:dyDescent="0.2">
      <c r="A178">
        <v>40093</v>
      </c>
      <c r="B178" t="s">
        <v>139</v>
      </c>
      <c r="C178">
        <v>2008</v>
      </c>
      <c r="D178" t="s">
        <v>22</v>
      </c>
      <c r="E178">
        <v>1371557</v>
      </c>
      <c r="F178">
        <v>1371848</v>
      </c>
      <c r="G178" t="s">
        <v>23</v>
      </c>
      <c r="H178" t="s">
        <v>24</v>
      </c>
      <c r="I178" t="s">
        <v>109</v>
      </c>
      <c r="J178" t="s">
        <v>26</v>
      </c>
      <c r="K178" t="s">
        <v>51</v>
      </c>
      <c r="L178" t="s">
        <v>27</v>
      </c>
      <c r="M178" t="s">
        <v>44</v>
      </c>
      <c r="N178" t="s">
        <v>44</v>
      </c>
      <c r="O178" t="s">
        <v>44</v>
      </c>
      <c r="P178" t="s">
        <v>37</v>
      </c>
      <c r="Q178" t="s">
        <v>170</v>
      </c>
      <c r="R178" t="s">
        <v>30</v>
      </c>
      <c r="S178" t="s">
        <v>31</v>
      </c>
      <c r="T178" t="s">
        <v>32</v>
      </c>
    </row>
    <row r="179" spans="1:20" x14ac:dyDescent="0.2">
      <c r="A179">
        <v>40231</v>
      </c>
      <c r="B179" t="s">
        <v>81</v>
      </c>
      <c r="C179">
        <v>2017</v>
      </c>
      <c r="D179" t="s">
        <v>50</v>
      </c>
      <c r="E179">
        <v>1382542</v>
      </c>
      <c r="F179">
        <v>1382844</v>
      </c>
      <c r="G179" t="s">
        <v>34</v>
      </c>
      <c r="H179" t="s">
        <v>24</v>
      </c>
      <c r="I179" t="s">
        <v>73</v>
      </c>
      <c r="J179" t="s">
        <v>35</v>
      </c>
      <c r="K179" t="s">
        <v>51</v>
      </c>
      <c r="L179" t="s">
        <v>63</v>
      </c>
      <c r="M179" t="s">
        <v>29</v>
      </c>
      <c r="N179" t="s">
        <v>177</v>
      </c>
      <c r="O179" t="s">
        <v>29</v>
      </c>
      <c r="P179" t="s">
        <v>20</v>
      </c>
      <c r="R179" t="s">
        <v>30</v>
      </c>
      <c r="S179" t="s">
        <v>31</v>
      </c>
      <c r="T179" t="s">
        <v>80</v>
      </c>
    </row>
    <row r="180" spans="1:20" x14ac:dyDescent="0.2">
      <c r="A180">
        <v>40232</v>
      </c>
      <c r="B180" t="s">
        <v>81</v>
      </c>
      <c r="C180">
        <v>2017</v>
      </c>
      <c r="D180" t="s">
        <v>50</v>
      </c>
      <c r="E180">
        <v>2423539</v>
      </c>
      <c r="F180">
        <v>2424470</v>
      </c>
      <c r="G180" t="s">
        <v>34</v>
      </c>
      <c r="H180" t="s">
        <v>24</v>
      </c>
      <c r="I180" t="s">
        <v>73</v>
      </c>
      <c r="J180" t="s">
        <v>62</v>
      </c>
      <c r="K180" t="s">
        <v>51</v>
      </c>
      <c r="L180" t="s">
        <v>63</v>
      </c>
      <c r="M180" t="s">
        <v>36</v>
      </c>
      <c r="N180" t="s">
        <v>29</v>
      </c>
      <c r="O180" t="s">
        <v>29</v>
      </c>
      <c r="P180" t="s">
        <v>20</v>
      </c>
      <c r="R180" t="s">
        <v>77</v>
      </c>
      <c r="S180" t="s">
        <v>31</v>
      </c>
      <c r="T180" t="s">
        <v>80</v>
      </c>
    </row>
    <row r="181" spans="1:20" x14ac:dyDescent="0.2">
      <c r="A181">
        <v>40235</v>
      </c>
      <c r="B181" t="s">
        <v>85</v>
      </c>
      <c r="C181">
        <v>2017</v>
      </c>
      <c r="D181" t="s">
        <v>50</v>
      </c>
      <c r="E181">
        <v>2739232</v>
      </c>
      <c r="F181">
        <v>2739505</v>
      </c>
      <c r="G181" t="s">
        <v>34</v>
      </c>
      <c r="H181" t="s">
        <v>24</v>
      </c>
      <c r="I181" t="s">
        <v>73</v>
      </c>
      <c r="J181" t="s">
        <v>68</v>
      </c>
      <c r="K181" t="s">
        <v>69</v>
      </c>
      <c r="L181" t="s">
        <v>27</v>
      </c>
      <c r="M181" t="s">
        <v>29</v>
      </c>
      <c r="N181" t="s">
        <v>29</v>
      </c>
      <c r="O181" t="s">
        <v>29</v>
      </c>
      <c r="P181" t="s">
        <v>20</v>
      </c>
      <c r="R181" t="s">
        <v>77</v>
      </c>
      <c r="S181" t="s">
        <v>31</v>
      </c>
      <c r="T181" t="s">
        <v>80</v>
      </c>
    </row>
    <row r="182" spans="1:20" x14ac:dyDescent="0.2">
      <c r="A182">
        <v>40207</v>
      </c>
      <c r="B182" t="s">
        <v>71</v>
      </c>
      <c r="C182">
        <v>2009</v>
      </c>
      <c r="D182" t="s">
        <v>22</v>
      </c>
      <c r="E182">
        <v>2799809</v>
      </c>
      <c r="F182">
        <v>2800334</v>
      </c>
      <c r="G182" t="s">
        <v>179</v>
      </c>
      <c r="H182" t="s">
        <v>180</v>
      </c>
      <c r="I182" t="s">
        <v>181</v>
      </c>
      <c r="J182" t="s">
        <v>26</v>
      </c>
      <c r="K182" t="s">
        <v>69</v>
      </c>
      <c r="L182" t="s">
        <v>27</v>
      </c>
      <c r="M182" t="s">
        <v>29</v>
      </c>
      <c r="N182" t="s">
        <v>29</v>
      </c>
      <c r="O182" t="s">
        <v>29</v>
      </c>
      <c r="P182" t="s">
        <v>20</v>
      </c>
      <c r="R182" t="s">
        <v>77</v>
      </c>
      <c r="S182" t="s">
        <v>31</v>
      </c>
      <c r="T182" t="s">
        <v>98</v>
      </c>
    </row>
    <row r="183" spans="1:20" x14ac:dyDescent="0.2">
      <c r="A183">
        <v>40208</v>
      </c>
      <c r="B183" t="s">
        <v>125</v>
      </c>
      <c r="C183">
        <v>2007</v>
      </c>
      <c r="D183" t="s">
        <v>22</v>
      </c>
      <c r="E183">
        <v>2076096</v>
      </c>
      <c r="F183">
        <v>2076503</v>
      </c>
      <c r="G183" t="s">
        <v>179</v>
      </c>
      <c r="H183" t="s">
        <v>180</v>
      </c>
      <c r="I183" t="s">
        <v>181</v>
      </c>
      <c r="J183" t="s">
        <v>26</v>
      </c>
      <c r="K183" t="s">
        <v>26</v>
      </c>
      <c r="L183" t="s">
        <v>27</v>
      </c>
      <c r="M183" t="s">
        <v>29</v>
      </c>
      <c r="N183" t="s">
        <v>29</v>
      </c>
      <c r="O183" t="s">
        <v>29</v>
      </c>
      <c r="P183" t="s">
        <v>37</v>
      </c>
      <c r="Q183" t="s">
        <v>95</v>
      </c>
      <c r="R183" t="s">
        <v>77</v>
      </c>
      <c r="S183" t="s">
        <v>31</v>
      </c>
      <c r="T183" t="s">
        <v>80</v>
      </c>
    </row>
    <row r="184" spans="1:20" x14ac:dyDescent="0.2">
      <c r="A184">
        <v>40209</v>
      </c>
      <c r="B184" t="s">
        <v>125</v>
      </c>
      <c r="C184">
        <v>2007</v>
      </c>
      <c r="D184" t="s">
        <v>22</v>
      </c>
      <c r="E184">
        <v>2156503</v>
      </c>
      <c r="F184">
        <v>2156891</v>
      </c>
      <c r="G184" t="s">
        <v>179</v>
      </c>
      <c r="H184" t="s">
        <v>180</v>
      </c>
      <c r="I184" t="s">
        <v>181</v>
      </c>
      <c r="J184" t="s">
        <v>26</v>
      </c>
      <c r="K184" t="s">
        <v>26</v>
      </c>
      <c r="L184" t="s">
        <v>27</v>
      </c>
      <c r="M184" t="s">
        <v>29</v>
      </c>
      <c r="N184" t="s">
        <v>29</v>
      </c>
      <c r="O184" t="s">
        <v>29</v>
      </c>
      <c r="P184" t="s">
        <v>20</v>
      </c>
      <c r="R184" t="s">
        <v>46</v>
      </c>
      <c r="S184" t="s">
        <v>31</v>
      </c>
      <c r="T184" t="s">
        <v>32</v>
      </c>
    </row>
    <row r="185" spans="1:20" x14ac:dyDescent="0.2">
      <c r="A185">
        <v>40210</v>
      </c>
      <c r="B185" t="s">
        <v>125</v>
      </c>
      <c r="C185">
        <v>2007</v>
      </c>
      <c r="D185" t="s">
        <v>22</v>
      </c>
      <c r="E185">
        <v>2177516</v>
      </c>
      <c r="F185">
        <v>2178068</v>
      </c>
      <c r="G185" t="s">
        <v>179</v>
      </c>
      <c r="H185" t="s">
        <v>180</v>
      </c>
      <c r="I185" t="s">
        <v>181</v>
      </c>
      <c r="J185" t="s">
        <v>26</v>
      </c>
      <c r="K185" t="s">
        <v>26</v>
      </c>
      <c r="L185" t="s">
        <v>27</v>
      </c>
      <c r="M185" t="s">
        <v>53</v>
      </c>
      <c r="N185" t="s">
        <v>53</v>
      </c>
      <c r="O185" t="s">
        <v>53</v>
      </c>
      <c r="P185" t="s">
        <v>37</v>
      </c>
      <c r="Q185" t="s">
        <v>170</v>
      </c>
      <c r="R185" t="s">
        <v>77</v>
      </c>
      <c r="S185" t="s">
        <v>31</v>
      </c>
      <c r="T185" t="s">
        <v>98</v>
      </c>
    </row>
    <row r="186" spans="1:20" x14ac:dyDescent="0.2">
      <c r="A186">
        <v>40211</v>
      </c>
      <c r="B186" t="s">
        <v>125</v>
      </c>
      <c r="C186">
        <v>2007</v>
      </c>
      <c r="D186" t="s">
        <v>22</v>
      </c>
      <c r="E186">
        <v>5230393</v>
      </c>
      <c r="F186">
        <v>5231126</v>
      </c>
      <c r="G186" t="s">
        <v>179</v>
      </c>
      <c r="H186" t="s">
        <v>180</v>
      </c>
      <c r="I186" t="s">
        <v>181</v>
      </c>
      <c r="J186" t="s">
        <v>26</v>
      </c>
      <c r="K186" t="s">
        <v>26</v>
      </c>
      <c r="L186" t="s">
        <v>27</v>
      </c>
      <c r="M186" t="s">
        <v>44</v>
      </c>
      <c r="N186" t="s">
        <v>44</v>
      </c>
      <c r="O186" t="s">
        <v>44</v>
      </c>
      <c r="P186" t="s">
        <v>37</v>
      </c>
      <c r="Q186" t="s">
        <v>141</v>
      </c>
      <c r="R186" t="s">
        <v>77</v>
      </c>
      <c r="S186" t="s">
        <v>31</v>
      </c>
      <c r="T186" t="s">
        <v>98</v>
      </c>
    </row>
    <row r="187" spans="1:20" x14ac:dyDescent="0.2">
      <c r="A187">
        <v>40212</v>
      </c>
      <c r="B187" t="s">
        <v>67</v>
      </c>
      <c r="C187">
        <v>2007</v>
      </c>
      <c r="D187" t="s">
        <v>42</v>
      </c>
      <c r="E187">
        <v>710158</v>
      </c>
      <c r="F187">
        <v>710973</v>
      </c>
      <c r="G187" t="s">
        <v>179</v>
      </c>
      <c r="H187" t="s">
        <v>180</v>
      </c>
      <c r="I187" t="s">
        <v>181</v>
      </c>
      <c r="J187" t="s">
        <v>26</v>
      </c>
      <c r="K187" t="s">
        <v>51</v>
      </c>
      <c r="L187" t="s">
        <v>27</v>
      </c>
      <c r="M187" t="s">
        <v>44</v>
      </c>
      <c r="N187" t="s">
        <v>44</v>
      </c>
      <c r="O187" t="s">
        <v>44</v>
      </c>
      <c r="P187" t="s">
        <v>20</v>
      </c>
      <c r="R187" t="s">
        <v>77</v>
      </c>
      <c r="S187" t="s">
        <v>31</v>
      </c>
      <c r="T187" t="s">
        <v>32</v>
      </c>
    </row>
    <row r="188" spans="1:20" x14ac:dyDescent="0.2">
      <c r="A188">
        <v>40213</v>
      </c>
      <c r="B188" t="s">
        <v>81</v>
      </c>
      <c r="C188">
        <v>2017</v>
      </c>
      <c r="D188" t="s">
        <v>50</v>
      </c>
      <c r="E188">
        <v>2120352</v>
      </c>
      <c r="F188">
        <v>2120645</v>
      </c>
      <c r="G188" t="s">
        <v>179</v>
      </c>
      <c r="H188" t="s">
        <v>180</v>
      </c>
      <c r="I188" t="s">
        <v>181</v>
      </c>
      <c r="J188" t="s">
        <v>35</v>
      </c>
      <c r="K188" t="s">
        <v>69</v>
      </c>
      <c r="L188" t="s">
        <v>63</v>
      </c>
      <c r="M188" t="s">
        <v>29</v>
      </c>
      <c r="N188" t="s">
        <v>29</v>
      </c>
      <c r="O188" t="s">
        <v>29</v>
      </c>
      <c r="P188" t="s">
        <v>20</v>
      </c>
      <c r="R188" t="s">
        <v>30</v>
      </c>
      <c r="S188" t="s">
        <v>31</v>
      </c>
      <c r="T188" t="s">
        <v>32</v>
      </c>
    </row>
    <row r="189" spans="1:20" x14ac:dyDescent="0.2">
      <c r="A189">
        <v>40214</v>
      </c>
      <c r="B189" t="s">
        <v>49</v>
      </c>
      <c r="C189">
        <v>2017</v>
      </c>
      <c r="D189" t="s">
        <v>50</v>
      </c>
      <c r="E189">
        <v>536692</v>
      </c>
      <c r="F189">
        <v>537141</v>
      </c>
      <c r="G189" t="s">
        <v>179</v>
      </c>
      <c r="H189" t="s">
        <v>180</v>
      </c>
      <c r="I189" t="s">
        <v>181</v>
      </c>
      <c r="J189" t="s">
        <v>26</v>
      </c>
      <c r="K189" t="s">
        <v>26</v>
      </c>
      <c r="L189" t="s">
        <v>27</v>
      </c>
      <c r="M189" t="s">
        <v>53</v>
      </c>
      <c r="N189" t="s">
        <v>44</v>
      </c>
      <c r="O189" t="s">
        <v>44</v>
      </c>
      <c r="P189" t="s">
        <v>37</v>
      </c>
      <c r="Q189" t="s">
        <v>184</v>
      </c>
      <c r="R189" t="s">
        <v>30</v>
      </c>
      <c r="S189" t="s">
        <v>31</v>
      </c>
      <c r="T189" t="s">
        <v>32</v>
      </c>
    </row>
    <row r="190" spans="1:20" x14ac:dyDescent="0.2">
      <c r="A190">
        <v>40215</v>
      </c>
      <c r="B190" t="s">
        <v>92</v>
      </c>
      <c r="C190">
        <v>2017</v>
      </c>
      <c r="D190" t="s">
        <v>50</v>
      </c>
      <c r="E190">
        <v>2969476</v>
      </c>
      <c r="F190">
        <v>2970052</v>
      </c>
      <c r="G190" t="s">
        <v>179</v>
      </c>
      <c r="H190" t="s">
        <v>180</v>
      </c>
      <c r="I190" t="s">
        <v>181</v>
      </c>
      <c r="J190" t="s">
        <v>26</v>
      </c>
      <c r="K190" t="s">
        <v>51</v>
      </c>
      <c r="L190" t="s">
        <v>63</v>
      </c>
      <c r="M190" t="s">
        <v>29</v>
      </c>
      <c r="N190" t="s">
        <v>29</v>
      </c>
      <c r="O190" t="s">
        <v>29</v>
      </c>
      <c r="P190" t="s">
        <v>20</v>
      </c>
      <c r="R190" t="s">
        <v>77</v>
      </c>
      <c r="S190" t="s">
        <v>31</v>
      </c>
      <c r="T190" t="s">
        <v>32</v>
      </c>
    </row>
    <row r="191" spans="1:20" x14ac:dyDescent="0.2">
      <c r="A191">
        <v>40216</v>
      </c>
      <c r="B191" t="s">
        <v>92</v>
      </c>
      <c r="C191">
        <v>2017</v>
      </c>
      <c r="D191" t="s">
        <v>50</v>
      </c>
      <c r="E191">
        <v>1395240</v>
      </c>
      <c r="F191">
        <v>1396145</v>
      </c>
      <c r="G191" t="s">
        <v>179</v>
      </c>
      <c r="H191" t="s">
        <v>180</v>
      </c>
      <c r="I191" t="s">
        <v>181</v>
      </c>
      <c r="J191" t="s">
        <v>26</v>
      </c>
      <c r="K191" t="s">
        <v>51</v>
      </c>
      <c r="L191" t="s">
        <v>27</v>
      </c>
      <c r="M191" t="s">
        <v>36</v>
      </c>
      <c r="N191" t="s">
        <v>36</v>
      </c>
      <c r="O191" t="s">
        <v>36</v>
      </c>
      <c r="P191" t="s">
        <v>37</v>
      </c>
      <c r="Q191" t="s">
        <v>170</v>
      </c>
      <c r="R191" t="s">
        <v>30</v>
      </c>
      <c r="S191" t="s">
        <v>31</v>
      </c>
      <c r="T191" t="s">
        <v>80</v>
      </c>
    </row>
    <row r="192" spans="1:20" x14ac:dyDescent="0.2">
      <c r="A192">
        <v>40217</v>
      </c>
      <c r="B192" t="s">
        <v>104</v>
      </c>
      <c r="C192">
        <v>2017</v>
      </c>
      <c r="D192" t="s">
        <v>50</v>
      </c>
      <c r="E192">
        <v>4848555</v>
      </c>
      <c r="F192">
        <v>4848914</v>
      </c>
      <c r="G192" t="s">
        <v>179</v>
      </c>
      <c r="H192" t="s">
        <v>180</v>
      </c>
      <c r="I192" t="s">
        <v>181</v>
      </c>
      <c r="J192" t="s">
        <v>26</v>
      </c>
      <c r="K192" t="s">
        <v>62</v>
      </c>
      <c r="L192" t="s">
        <v>27</v>
      </c>
      <c r="M192" t="s">
        <v>29</v>
      </c>
      <c r="N192" t="s">
        <v>29</v>
      </c>
      <c r="O192" t="s">
        <v>29</v>
      </c>
      <c r="P192" t="s">
        <v>37</v>
      </c>
      <c r="Q192" t="s">
        <v>40</v>
      </c>
      <c r="R192" t="s">
        <v>30</v>
      </c>
      <c r="S192" t="s">
        <v>31</v>
      </c>
      <c r="T192" t="s">
        <v>32</v>
      </c>
    </row>
    <row r="193" spans="1:20" x14ac:dyDescent="0.2">
      <c r="A193">
        <v>40218</v>
      </c>
      <c r="B193" t="s">
        <v>104</v>
      </c>
      <c r="C193">
        <v>2017</v>
      </c>
      <c r="D193" t="s">
        <v>50</v>
      </c>
      <c r="E193">
        <v>4117334</v>
      </c>
      <c r="F193">
        <v>4117980</v>
      </c>
      <c r="G193" t="s">
        <v>179</v>
      </c>
      <c r="H193" t="s">
        <v>180</v>
      </c>
      <c r="I193" t="s">
        <v>181</v>
      </c>
      <c r="J193" t="s">
        <v>26</v>
      </c>
      <c r="K193" t="s">
        <v>26</v>
      </c>
      <c r="L193" t="s">
        <v>27</v>
      </c>
      <c r="M193" t="s">
        <v>29</v>
      </c>
      <c r="N193" t="s">
        <v>29</v>
      </c>
      <c r="O193" t="s">
        <v>29</v>
      </c>
      <c r="P193" t="s">
        <v>37</v>
      </c>
      <c r="Q193" t="s">
        <v>40</v>
      </c>
      <c r="R193" t="s">
        <v>46</v>
      </c>
      <c r="S193" t="s">
        <v>31</v>
      </c>
      <c r="T193" t="s">
        <v>32</v>
      </c>
    </row>
    <row r="194" spans="1:20" x14ac:dyDescent="0.2">
      <c r="A194">
        <v>40219</v>
      </c>
      <c r="B194" t="s">
        <v>85</v>
      </c>
      <c r="C194">
        <v>2017</v>
      </c>
      <c r="D194" t="s">
        <v>50</v>
      </c>
      <c r="E194">
        <v>1325810</v>
      </c>
      <c r="F194">
        <v>1326234</v>
      </c>
      <c r="G194" t="s">
        <v>179</v>
      </c>
      <c r="H194" t="s">
        <v>180</v>
      </c>
      <c r="I194" t="s">
        <v>181</v>
      </c>
      <c r="J194" t="s">
        <v>26</v>
      </c>
      <c r="K194" t="s">
        <v>26</v>
      </c>
      <c r="L194" t="s">
        <v>27</v>
      </c>
      <c r="M194" t="s">
        <v>53</v>
      </c>
      <c r="N194" t="s">
        <v>53</v>
      </c>
      <c r="O194" t="s">
        <v>53</v>
      </c>
      <c r="P194" t="s">
        <v>20</v>
      </c>
      <c r="R194" t="s">
        <v>30</v>
      </c>
      <c r="S194" t="s">
        <v>31</v>
      </c>
      <c r="T194" t="s">
        <v>32</v>
      </c>
    </row>
    <row r="195" spans="1:20" x14ac:dyDescent="0.2">
      <c r="A195">
        <v>40220</v>
      </c>
      <c r="B195" t="s">
        <v>107</v>
      </c>
      <c r="C195">
        <v>2018</v>
      </c>
      <c r="D195" t="s">
        <v>50</v>
      </c>
      <c r="E195">
        <v>74432</v>
      </c>
      <c r="F195">
        <v>75097</v>
      </c>
      <c r="G195" t="s">
        <v>179</v>
      </c>
      <c r="H195" t="s">
        <v>180</v>
      </c>
      <c r="I195" t="s">
        <v>181</v>
      </c>
      <c r="J195" t="s">
        <v>35</v>
      </c>
      <c r="K195" t="s">
        <v>51</v>
      </c>
      <c r="L195" t="s">
        <v>89</v>
      </c>
      <c r="M195" t="s">
        <v>53</v>
      </c>
      <c r="N195" t="s">
        <v>53</v>
      </c>
      <c r="O195" t="s">
        <v>29</v>
      </c>
      <c r="P195" t="s">
        <v>20</v>
      </c>
      <c r="R195" t="s">
        <v>46</v>
      </c>
      <c r="S195" t="s">
        <v>149</v>
      </c>
      <c r="T195" t="s">
        <v>32</v>
      </c>
    </row>
    <row r="196" spans="1:20" x14ac:dyDescent="0.2">
      <c r="A196">
        <v>40221</v>
      </c>
      <c r="B196" t="s">
        <v>107</v>
      </c>
      <c r="C196">
        <v>2018</v>
      </c>
      <c r="D196" t="s">
        <v>50</v>
      </c>
      <c r="E196">
        <v>1284004</v>
      </c>
      <c r="F196">
        <v>1284298</v>
      </c>
      <c r="G196" t="s">
        <v>179</v>
      </c>
      <c r="H196" t="s">
        <v>180</v>
      </c>
      <c r="I196" t="s">
        <v>181</v>
      </c>
      <c r="J196" t="s">
        <v>62</v>
      </c>
      <c r="K196" t="s">
        <v>51</v>
      </c>
      <c r="L196" t="s">
        <v>63</v>
      </c>
      <c r="M196" t="s">
        <v>29</v>
      </c>
      <c r="N196" t="s">
        <v>29</v>
      </c>
      <c r="O196" t="s">
        <v>29</v>
      </c>
      <c r="P196" t="s">
        <v>20</v>
      </c>
      <c r="R196" t="s">
        <v>77</v>
      </c>
      <c r="S196" t="s">
        <v>31</v>
      </c>
      <c r="T196" t="s">
        <v>32</v>
      </c>
    </row>
    <row r="197" spans="1:20" x14ac:dyDescent="0.2">
      <c r="A197">
        <v>40222</v>
      </c>
      <c r="B197" t="s">
        <v>107</v>
      </c>
      <c r="C197">
        <v>2018</v>
      </c>
      <c r="D197" t="s">
        <v>50</v>
      </c>
      <c r="E197">
        <v>5695655</v>
      </c>
      <c r="F197">
        <v>5696157</v>
      </c>
      <c r="G197" t="s">
        <v>179</v>
      </c>
      <c r="H197" t="s">
        <v>180</v>
      </c>
      <c r="I197" t="s">
        <v>181</v>
      </c>
      <c r="J197" t="s">
        <v>26</v>
      </c>
      <c r="K197" t="s">
        <v>62</v>
      </c>
      <c r="L197" t="s">
        <v>27</v>
      </c>
      <c r="M197" t="s">
        <v>36</v>
      </c>
      <c r="N197" t="s">
        <v>36</v>
      </c>
      <c r="O197" t="s">
        <v>36</v>
      </c>
      <c r="P197" t="s">
        <v>37</v>
      </c>
      <c r="Q197" t="s">
        <v>170</v>
      </c>
      <c r="R197" t="s">
        <v>30</v>
      </c>
      <c r="S197" t="s">
        <v>31</v>
      </c>
      <c r="T197" t="s">
        <v>32</v>
      </c>
    </row>
    <row r="198" spans="1:20" x14ac:dyDescent="0.2">
      <c r="A198">
        <v>40223</v>
      </c>
      <c r="B198" t="s">
        <v>107</v>
      </c>
      <c r="C198">
        <v>2018</v>
      </c>
      <c r="D198" t="s">
        <v>50</v>
      </c>
      <c r="E198">
        <v>5710129</v>
      </c>
      <c r="F198">
        <v>5710670</v>
      </c>
      <c r="G198" t="s">
        <v>179</v>
      </c>
      <c r="H198" t="s">
        <v>180</v>
      </c>
      <c r="I198" t="s">
        <v>181</v>
      </c>
      <c r="J198" t="s">
        <v>62</v>
      </c>
      <c r="K198" t="s">
        <v>26</v>
      </c>
      <c r="L198" t="s">
        <v>27</v>
      </c>
      <c r="M198" t="s">
        <v>36</v>
      </c>
      <c r="N198" t="s">
        <v>36</v>
      </c>
      <c r="O198" t="s">
        <v>36</v>
      </c>
      <c r="P198" t="s">
        <v>20</v>
      </c>
      <c r="R198" t="s">
        <v>77</v>
      </c>
      <c r="S198" t="s">
        <v>31</v>
      </c>
      <c r="T198" t="s">
        <v>32</v>
      </c>
    </row>
    <row r="199" spans="1:20" x14ac:dyDescent="0.2">
      <c r="A199">
        <v>40095</v>
      </c>
      <c r="B199" t="s">
        <v>71</v>
      </c>
      <c r="C199">
        <v>2009</v>
      </c>
      <c r="D199" t="s">
        <v>22</v>
      </c>
      <c r="E199">
        <v>1503629</v>
      </c>
      <c r="F199">
        <v>1504172</v>
      </c>
      <c r="G199" t="s">
        <v>185</v>
      </c>
      <c r="H199" t="s">
        <v>180</v>
      </c>
      <c r="I199" t="s">
        <v>181</v>
      </c>
      <c r="J199" t="s">
        <v>26</v>
      </c>
      <c r="K199" t="s">
        <v>26</v>
      </c>
      <c r="L199" t="s">
        <v>27</v>
      </c>
      <c r="M199" t="s">
        <v>29</v>
      </c>
      <c r="N199" t="s">
        <v>29</v>
      </c>
      <c r="O199" t="s">
        <v>29</v>
      </c>
      <c r="P199" t="s">
        <v>37</v>
      </c>
      <c r="Q199" t="s">
        <v>186</v>
      </c>
      <c r="R199" t="s">
        <v>30</v>
      </c>
      <c r="S199" t="s">
        <v>31</v>
      </c>
      <c r="T199" t="s">
        <v>32</v>
      </c>
    </row>
    <row r="200" spans="1:20" x14ac:dyDescent="0.2">
      <c r="A200">
        <v>40096</v>
      </c>
      <c r="B200" t="s">
        <v>71</v>
      </c>
      <c r="C200">
        <v>2009</v>
      </c>
      <c r="D200" t="s">
        <v>22</v>
      </c>
      <c r="E200">
        <v>1537384</v>
      </c>
      <c r="F200">
        <v>1538291</v>
      </c>
      <c r="G200" t="s">
        <v>185</v>
      </c>
      <c r="H200" t="s">
        <v>180</v>
      </c>
      <c r="I200" t="s">
        <v>181</v>
      </c>
      <c r="J200" t="s">
        <v>26</v>
      </c>
      <c r="K200" t="s">
        <v>26</v>
      </c>
      <c r="L200" t="s">
        <v>27</v>
      </c>
      <c r="M200" t="s">
        <v>53</v>
      </c>
      <c r="N200" t="s">
        <v>53</v>
      </c>
      <c r="O200" t="s">
        <v>53</v>
      </c>
      <c r="P200" t="s">
        <v>37</v>
      </c>
      <c r="Q200" t="s">
        <v>187</v>
      </c>
      <c r="R200" t="s">
        <v>46</v>
      </c>
      <c r="S200" t="s">
        <v>31</v>
      </c>
      <c r="T200" t="s">
        <v>32</v>
      </c>
    </row>
    <row r="201" spans="1:20" x14ac:dyDescent="0.2">
      <c r="A201">
        <v>40097</v>
      </c>
      <c r="B201" t="s">
        <v>71</v>
      </c>
      <c r="C201">
        <v>2009</v>
      </c>
      <c r="D201" t="s">
        <v>22</v>
      </c>
      <c r="E201">
        <v>2872170</v>
      </c>
      <c r="F201">
        <v>2872460</v>
      </c>
      <c r="G201" t="s">
        <v>185</v>
      </c>
      <c r="H201" t="s">
        <v>180</v>
      </c>
      <c r="I201" t="s">
        <v>181</v>
      </c>
      <c r="J201" t="s">
        <v>62</v>
      </c>
      <c r="K201" t="s">
        <v>62</v>
      </c>
      <c r="L201" t="s">
        <v>89</v>
      </c>
      <c r="M201" t="s">
        <v>29</v>
      </c>
      <c r="N201" t="s">
        <v>29</v>
      </c>
      <c r="O201" t="s">
        <v>29</v>
      </c>
      <c r="P201" t="s">
        <v>20</v>
      </c>
      <c r="R201" t="s">
        <v>77</v>
      </c>
      <c r="S201" t="s">
        <v>31</v>
      </c>
      <c r="T201" t="s">
        <v>32</v>
      </c>
    </row>
    <row r="202" spans="1:20" x14ac:dyDescent="0.2">
      <c r="A202">
        <v>40098</v>
      </c>
      <c r="B202" t="s">
        <v>71</v>
      </c>
      <c r="C202">
        <v>2009</v>
      </c>
      <c r="D202" t="s">
        <v>22</v>
      </c>
      <c r="E202">
        <v>2920825</v>
      </c>
      <c r="F202">
        <v>2921192</v>
      </c>
      <c r="G202" t="s">
        <v>185</v>
      </c>
      <c r="H202" t="s">
        <v>180</v>
      </c>
      <c r="I202" t="s">
        <v>181</v>
      </c>
      <c r="J202" t="s">
        <v>26</v>
      </c>
      <c r="K202" t="s">
        <v>26</v>
      </c>
      <c r="L202" t="s">
        <v>27</v>
      </c>
      <c r="M202" t="s">
        <v>29</v>
      </c>
      <c r="N202" t="s">
        <v>29</v>
      </c>
      <c r="O202" t="s">
        <v>29</v>
      </c>
      <c r="P202" t="s">
        <v>20</v>
      </c>
      <c r="R202" t="s">
        <v>77</v>
      </c>
      <c r="S202" t="s">
        <v>31</v>
      </c>
      <c r="T202" t="s">
        <v>32</v>
      </c>
    </row>
    <row r="203" spans="1:20" x14ac:dyDescent="0.2">
      <c r="A203">
        <v>40099</v>
      </c>
      <c r="B203" t="s">
        <v>71</v>
      </c>
      <c r="C203">
        <v>2009</v>
      </c>
      <c r="D203" t="s">
        <v>22</v>
      </c>
      <c r="E203">
        <v>2416775</v>
      </c>
      <c r="F203">
        <v>2417190</v>
      </c>
      <c r="G203" t="s">
        <v>185</v>
      </c>
      <c r="H203" t="s">
        <v>180</v>
      </c>
      <c r="I203" t="s">
        <v>181</v>
      </c>
      <c r="J203" t="s">
        <v>26</v>
      </c>
      <c r="K203" t="s">
        <v>26</v>
      </c>
      <c r="L203" t="s">
        <v>27</v>
      </c>
      <c r="M203" t="s">
        <v>158</v>
      </c>
      <c r="N203" t="s">
        <v>29</v>
      </c>
      <c r="O203" t="s">
        <v>29</v>
      </c>
      <c r="P203" t="s">
        <v>37</v>
      </c>
      <c r="Q203" t="s">
        <v>188</v>
      </c>
      <c r="R203" t="s">
        <v>77</v>
      </c>
      <c r="S203" t="s">
        <v>31</v>
      </c>
      <c r="T203" t="s">
        <v>32</v>
      </c>
    </row>
    <row r="204" spans="1:20" x14ac:dyDescent="0.2">
      <c r="A204">
        <v>40100</v>
      </c>
      <c r="B204" t="s">
        <v>125</v>
      </c>
      <c r="C204">
        <v>2007</v>
      </c>
      <c r="D204" t="s">
        <v>22</v>
      </c>
      <c r="E204">
        <v>4292835</v>
      </c>
      <c r="F204">
        <v>4293192</v>
      </c>
      <c r="G204" t="s">
        <v>185</v>
      </c>
      <c r="H204" t="s">
        <v>180</v>
      </c>
      <c r="I204" t="s">
        <v>181</v>
      </c>
      <c r="J204" t="s">
        <v>26</v>
      </c>
      <c r="K204" t="s">
        <v>26</v>
      </c>
      <c r="L204" t="s">
        <v>27</v>
      </c>
      <c r="M204" t="s">
        <v>29</v>
      </c>
      <c r="N204" t="s">
        <v>29</v>
      </c>
      <c r="O204" t="s">
        <v>29</v>
      </c>
      <c r="P204" t="s">
        <v>20</v>
      </c>
      <c r="R204" t="s">
        <v>77</v>
      </c>
      <c r="S204" t="s">
        <v>31</v>
      </c>
      <c r="T204" t="s">
        <v>32</v>
      </c>
    </row>
    <row r="205" spans="1:20" x14ac:dyDescent="0.2">
      <c r="A205">
        <v>40101</v>
      </c>
      <c r="B205" t="s">
        <v>125</v>
      </c>
      <c r="C205">
        <v>2007</v>
      </c>
      <c r="D205" t="s">
        <v>22</v>
      </c>
      <c r="E205">
        <v>4406545</v>
      </c>
      <c r="F205">
        <v>4407005</v>
      </c>
      <c r="G205" t="s">
        <v>185</v>
      </c>
      <c r="H205" t="s">
        <v>180</v>
      </c>
      <c r="I205" t="s">
        <v>181</v>
      </c>
      <c r="J205" t="s">
        <v>62</v>
      </c>
      <c r="K205" t="s">
        <v>26</v>
      </c>
      <c r="L205" t="s">
        <v>27</v>
      </c>
      <c r="M205" t="s">
        <v>29</v>
      </c>
      <c r="N205" t="s">
        <v>29</v>
      </c>
      <c r="O205" t="s">
        <v>29</v>
      </c>
      <c r="P205" t="s">
        <v>20</v>
      </c>
      <c r="R205" t="s">
        <v>77</v>
      </c>
      <c r="S205" t="s">
        <v>31</v>
      </c>
      <c r="T205" t="s">
        <v>32</v>
      </c>
    </row>
    <row r="206" spans="1:20" x14ac:dyDescent="0.2">
      <c r="A206">
        <v>40102</v>
      </c>
      <c r="B206" t="s">
        <v>125</v>
      </c>
      <c r="C206">
        <v>2007</v>
      </c>
      <c r="D206" t="s">
        <v>22</v>
      </c>
      <c r="E206">
        <v>6093902</v>
      </c>
      <c r="F206">
        <v>6094246</v>
      </c>
      <c r="G206" t="s">
        <v>185</v>
      </c>
      <c r="H206" t="s">
        <v>180</v>
      </c>
      <c r="I206" t="s">
        <v>181</v>
      </c>
      <c r="J206" t="s">
        <v>62</v>
      </c>
      <c r="K206" t="s">
        <v>26</v>
      </c>
      <c r="L206" t="s">
        <v>27</v>
      </c>
      <c r="M206" t="s">
        <v>29</v>
      </c>
      <c r="N206" t="s">
        <v>29</v>
      </c>
      <c r="O206" t="s">
        <v>29</v>
      </c>
      <c r="P206" t="s">
        <v>20</v>
      </c>
      <c r="R206" t="s">
        <v>77</v>
      </c>
      <c r="S206" t="s">
        <v>31</v>
      </c>
      <c r="T206" t="s">
        <v>32</v>
      </c>
    </row>
    <row r="207" spans="1:20" x14ac:dyDescent="0.2">
      <c r="A207">
        <v>40103</v>
      </c>
      <c r="B207" t="s">
        <v>55</v>
      </c>
      <c r="C207">
        <v>2008</v>
      </c>
      <c r="D207" t="s">
        <v>22</v>
      </c>
      <c r="E207">
        <v>704094</v>
      </c>
      <c r="F207">
        <v>704396</v>
      </c>
      <c r="G207" t="s">
        <v>185</v>
      </c>
      <c r="H207" t="s">
        <v>180</v>
      </c>
      <c r="I207" t="s">
        <v>181</v>
      </c>
      <c r="J207" t="s">
        <v>26</v>
      </c>
      <c r="K207" t="s">
        <v>26</v>
      </c>
      <c r="L207" t="s">
        <v>27</v>
      </c>
      <c r="M207" t="s">
        <v>29</v>
      </c>
      <c r="N207" t="s">
        <v>29</v>
      </c>
      <c r="O207" t="s">
        <v>29</v>
      </c>
      <c r="P207" t="s">
        <v>37</v>
      </c>
      <c r="Q207" t="s">
        <v>95</v>
      </c>
      <c r="R207" t="s">
        <v>30</v>
      </c>
      <c r="S207" t="s">
        <v>31</v>
      </c>
      <c r="T207" t="s">
        <v>80</v>
      </c>
    </row>
    <row r="208" spans="1:20" x14ac:dyDescent="0.2">
      <c r="A208">
        <v>40104</v>
      </c>
      <c r="B208" t="s">
        <v>55</v>
      </c>
      <c r="C208">
        <v>2008</v>
      </c>
      <c r="D208" t="s">
        <v>22</v>
      </c>
      <c r="E208">
        <v>954987</v>
      </c>
      <c r="F208">
        <v>955647</v>
      </c>
      <c r="G208" t="s">
        <v>185</v>
      </c>
      <c r="H208" t="s">
        <v>180</v>
      </c>
      <c r="I208" t="s">
        <v>181</v>
      </c>
      <c r="J208" t="s">
        <v>26</v>
      </c>
      <c r="K208" t="s">
        <v>26</v>
      </c>
      <c r="L208" t="s">
        <v>27</v>
      </c>
      <c r="M208" t="s">
        <v>36</v>
      </c>
      <c r="N208" t="s">
        <v>53</v>
      </c>
      <c r="O208" t="s">
        <v>53</v>
      </c>
      <c r="P208" t="s">
        <v>20</v>
      </c>
      <c r="R208" t="s">
        <v>30</v>
      </c>
      <c r="S208" t="s">
        <v>31</v>
      </c>
      <c r="T208" t="s">
        <v>32</v>
      </c>
    </row>
    <row r="209" spans="1:20" x14ac:dyDescent="0.2">
      <c r="A209">
        <v>40105</v>
      </c>
      <c r="B209" t="s">
        <v>55</v>
      </c>
      <c r="C209">
        <v>2008</v>
      </c>
      <c r="D209" t="s">
        <v>22</v>
      </c>
      <c r="E209">
        <v>1061368</v>
      </c>
      <c r="F209">
        <v>1062025</v>
      </c>
      <c r="G209" t="s">
        <v>185</v>
      </c>
      <c r="H209" t="s">
        <v>180</v>
      </c>
      <c r="I209" t="s">
        <v>181</v>
      </c>
      <c r="J209" t="s">
        <v>26</v>
      </c>
      <c r="K209" t="s">
        <v>26</v>
      </c>
      <c r="L209" t="s">
        <v>27</v>
      </c>
      <c r="M209" t="s">
        <v>29</v>
      </c>
      <c r="N209" t="s">
        <v>29</v>
      </c>
      <c r="O209" t="s">
        <v>29</v>
      </c>
      <c r="P209" t="s">
        <v>37</v>
      </c>
      <c r="Q209" t="s">
        <v>190</v>
      </c>
      <c r="R209" t="s">
        <v>77</v>
      </c>
      <c r="S209" t="s">
        <v>31</v>
      </c>
      <c r="T209" t="s">
        <v>32</v>
      </c>
    </row>
    <row r="210" spans="1:20" x14ac:dyDescent="0.2">
      <c r="A210">
        <v>40106</v>
      </c>
      <c r="B210" t="s">
        <v>55</v>
      </c>
      <c r="C210">
        <v>2008</v>
      </c>
      <c r="D210" t="s">
        <v>22</v>
      </c>
      <c r="E210">
        <v>1096143</v>
      </c>
      <c r="F210">
        <v>1096729</v>
      </c>
      <c r="G210" t="s">
        <v>185</v>
      </c>
      <c r="H210" t="s">
        <v>180</v>
      </c>
      <c r="I210" t="s">
        <v>181</v>
      </c>
      <c r="J210" t="s">
        <v>26</v>
      </c>
      <c r="K210" t="s">
        <v>26</v>
      </c>
      <c r="L210" t="s">
        <v>27</v>
      </c>
      <c r="M210" t="s">
        <v>29</v>
      </c>
      <c r="N210" t="s">
        <v>29</v>
      </c>
      <c r="O210" t="s">
        <v>29</v>
      </c>
      <c r="P210" t="s">
        <v>20</v>
      </c>
      <c r="R210" t="s">
        <v>30</v>
      </c>
      <c r="S210" t="s">
        <v>31</v>
      </c>
      <c r="T210" t="s">
        <v>32</v>
      </c>
    </row>
    <row r="211" spans="1:20" x14ac:dyDescent="0.2">
      <c r="A211">
        <v>40107</v>
      </c>
      <c r="B211" t="s">
        <v>55</v>
      </c>
      <c r="C211">
        <v>2008</v>
      </c>
      <c r="D211" t="s">
        <v>22</v>
      </c>
      <c r="E211">
        <v>1258964</v>
      </c>
      <c r="F211">
        <v>1259342</v>
      </c>
      <c r="G211" t="s">
        <v>185</v>
      </c>
      <c r="H211" t="s">
        <v>180</v>
      </c>
      <c r="I211" t="s">
        <v>181</v>
      </c>
      <c r="J211" t="s">
        <v>26</v>
      </c>
      <c r="K211" t="s">
        <v>26</v>
      </c>
      <c r="L211" t="s">
        <v>27</v>
      </c>
      <c r="M211" t="s">
        <v>29</v>
      </c>
      <c r="N211" t="s">
        <v>158</v>
      </c>
      <c r="O211" t="s">
        <v>158</v>
      </c>
      <c r="P211" t="s">
        <v>37</v>
      </c>
      <c r="Q211" t="s">
        <v>66</v>
      </c>
      <c r="R211" t="s">
        <v>30</v>
      </c>
      <c r="S211" t="s">
        <v>31</v>
      </c>
      <c r="T211" t="s">
        <v>80</v>
      </c>
    </row>
    <row r="212" spans="1:20" x14ac:dyDescent="0.2">
      <c r="A212">
        <v>40108</v>
      </c>
      <c r="B212" t="s">
        <v>55</v>
      </c>
      <c r="C212">
        <v>2008</v>
      </c>
      <c r="D212" t="s">
        <v>22</v>
      </c>
      <c r="E212">
        <v>1300466</v>
      </c>
      <c r="F212">
        <v>1300974</v>
      </c>
      <c r="G212" t="s">
        <v>185</v>
      </c>
      <c r="H212" t="s">
        <v>180</v>
      </c>
      <c r="I212" t="s">
        <v>181</v>
      </c>
      <c r="J212" t="s">
        <v>26</v>
      </c>
      <c r="K212" t="s">
        <v>26</v>
      </c>
      <c r="L212" t="s">
        <v>27</v>
      </c>
      <c r="M212" t="s">
        <v>29</v>
      </c>
      <c r="N212" t="s">
        <v>29</v>
      </c>
      <c r="O212" t="s">
        <v>29</v>
      </c>
      <c r="P212" t="s">
        <v>37</v>
      </c>
      <c r="Q212" t="s">
        <v>190</v>
      </c>
      <c r="R212" t="s">
        <v>30</v>
      </c>
      <c r="S212" t="s">
        <v>31</v>
      </c>
      <c r="T212" t="s">
        <v>32</v>
      </c>
    </row>
    <row r="213" spans="1:20" x14ac:dyDescent="0.2">
      <c r="A213">
        <v>40109</v>
      </c>
      <c r="B213" t="s">
        <v>55</v>
      </c>
      <c r="C213">
        <v>2008</v>
      </c>
      <c r="D213" t="s">
        <v>22</v>
      </c>
      <c r="E213">
        <v>1343550</v>
      </c>
      <c r="F213">
        <v>1343944</v>
      </c>
      <c r="G213" t="s">
        <v>185</v>
      </c>
      <c r="H213" t="s">
        <v>180</v>
      </c>
      <c r="I213" t="s">
        <v>181</v>
      </c>
      <c r="J213" t="s">
        <v>26</v>
      </c>
      <c r="K213" t="s">
        <v>26</v>
      </c>
      <c r="L213" t="s">
        <v>27</v>
      </c>
      <c r="M213" t="s">
        <v>36</v>
      </c>
      <c r="N213" t="s">
        <v>29</v>
      </c>
      <c r="O213" t="s">
        <v>29</v>
      </c>
      <c r="P213" t="s">
        <v>20</v>
      </c>
      <c r="R213" t="s">
        <v>77</v>
      </c>
      <c r="S213" t="s">
        <v>31</v>
      </c>
      <c r="T213" t="s">
        <v>32</v>
      </c>
    </row>
    <row r="214" spans="1:20" x14ac:dyDescent="0.2">
      <c r="A214">
        <v>40110</v>
      </c>
      <c r="B214" t="s">
        <v>55</v>
      </c>
      <c r="C214">
        <v>2008</v>
      </c>
      <c r="D214" t="s">
        <v>22</v>
      </c>
      <c r="E214">
        <v>1404289</v>
      </c>
      <c r="F214">
        <v>1404952</v>
      </c>
      <c r="G214" t="s">
        <v>185</v>
      </c>
      <c r="H214" t="s">
        <v>180</v>
      </c>
      <c r="I214" t="s">
        <v>181</v>
      </c>
      <c r="J214" t="s">
        <v>26</v>
      </c>
      <c r="K214" t="s">
        <v>26</v>
      </c>
      <c r="L214" t="s">
        <v>27</v>
      </c>
      <c r="M214" t="s">
        <v>29</v>
      </c>
      <c r="N214" t="s">
        <v>29</v>
      </c>
      <c r="O214" t="s">
        <v>29</v>
      </c>
      <c r="P214" t="s">
        <v>37</v>
      </c>
      <c r="Q214" t="s">
        <v>170</v>
      </c>
      <c r="R214" t="s">
        <v>30</v>
      </c>
      <c r="S214" t="s">
        <v>31</v>
      </c>
      <c r="T214" t="s">
        <v>32</v>
      </c>
    </row>
    <row r="215" spans="1:20" x14ac:dyDescent="0.2">
      <c r="A215">
        <v>40111</v>
      </c>
      <c r="B215" t="s">
        <v>55</v>
      </c>
      <c r="C215">
        <v>2008</v>
      </c>
      <c r="D215" t="s">
        <v>22</v>
      </c>
      <c r="E215">
        <v>1437085</v>
      </c>
      <c r="F215">
        <v>1437510</v>
      </c>
      <c r="G215" t="s">
        <v>185</v>
      </c>
      <c r="H215" t="s">
        <v>180</v>
      </c>
      <c r="I215" t="s">
        <v>181</v>
      </c>
      <c r="J215" t="s">
        <v>26</v>
      </c>
      <c r="K215" t="s">
        <v>26</v>
      </c>
      <c r="L215" t="s">
        <v>27</v>
      </c>
      <c r="M215" t="s">
        <v>29</v>
      </c>
      <c r="N215" t="s">
        <v>29</v>
      </c>
      <c r="O215" t="s">
        <v>36</v>
      </c>
      <c r="P215" t="s">
        <v>37</v>
      </c>
      <c r="Q215" t="s">
        <v>76</v>
      </c>
      <c r="R215" t="s">
        <v>30</v>
      </c>
      <c r="S215" t="s">
        <v>31</v>
      </c>
      <c r="T215" t="s">
        <v>32</v>
      </c>
    </row>
    <row r="216" spans="1:20" x14ac:dyDescent="0.2">
      <c r="A216">
        <v>40112</v>
      </c>
      <c r="B216" t="s">
        <v>55</v>
      </c>
      <c r="C216">
        <v>2008</v>
      </c>
      <c r="D216" t="s">
        <v>22</v>
      </c>
      <c r="E216">
        <v>1586744</v>
      </c>
      <c r="F216">
        <v>1587295</v>
      </c>
      <c r="G216" t="s">
        <v>185</v>
      </c>
      <c r="H216" t="s">
        <v>180</v>
      </c>
      <c r="I216" t="s">
        <v>181</v>
      </c>
      <c r="J216" t="s">
        <v>35</v>
      </c>
      <c r="K216" t="s">
        <v>26</v>
      </c>
      <c r="L216" t="s">
        <v>27</v>
      </c>
      <c r="M216" t="s">
        <v>29</v>
      </c>
      <c r="N216" t="s">
        <v>29</v>
      </c>
      <c r="O216" t="s">
        <v>29</v>
      </c>
      <c r="P216" t="s">
        <v>20</v>
      </c>
      <c r="R216" t="s">
        <v>30</v>
      </c>
      <c r="S216" t="s">
        <v>31</v>
      </c>
      <c r="T216" t="s">
        <v>32</v>
      </c>
    </row>
    <row r="217" spans="1:20" x14ac:dyDescent="0.2">
      <c r="A217">
        <v>40113</v>
      </c>
      <c r="B217" t="s">
        <v>55</v>
      </c>
      <c r="C217">
        <v>2008</v>
      </c>
      <c r="D217" t="s">
        <v>22</v>
      </c>
      <c r="E217">
        <v>1621683</v>
      </c>
      <c r="F217">
        <v>1622183</v>
      </c>
      <c r="G217" t="s">
        <v>185</v>
      </c>
      <c r="H217" t="s">
        <v>180</v>
      </c>
      <c r="I217" t="s">
        <v>181</v>
      </c>
      <c r="J217" t="s">
        <v>26</v>
      </c>
      <c r="K217" t="s">
        <v>26</v>
      </c>
      <c r="L217" t="s">
        <v>27</v>
      </c>
      <c r="M217" t="s">
        <v>29</v>
      </c>
      <c r="N217" t="s">
        <v>29</v>
      </c>
      <c r="O217" t="s">
        <v>29</v>
      </c>
      <c r="P217" t="s">
        <v>20</v>
      </c>
      <c r="R217" t="s">
        <v>77</v>
      </c>
      <c r="S217" t="s">
        <v>31</v>
      </c>
      <c r="T217" t="s">
        <v>32</v>
      </c>
    </row>
    <row r="218" spans="1:20" x14ac:dyDescent="0.2">
      <c r="A218">
        <v>40114</v>
      </c>
      <c r="B218" t="s">
        <v>55</v>
      </c>
      <c r="C218">
        <v>2008</v>
      </c>
      <c r="D218" t="s">
        <v>22</v>
      </c>
      <c r="E218">
        <v>1651157</v>
      </c>
      <c r="F218">
        <v>1651734</v>
      </c>
      <c r="G218" t="s">
        <v>185</v>
      </c>
      <c r="H218" t="s">
        <v>180</v>
      </c>
      <c r="I218" t="s">
        <v>181</v>
      </c>
      <c r="J218" t="s">
        <v>26</v>
      </c>
      <c r="K218" t="s">
        <v>26</v>
      </c>
      <c r="L218" t="s">
        <v>27</v>
      </c>
      <c r="M218" t="s">
        <v>29</v>
      </c>
      <c r="N218" t="s">
        <v>29</v>
      </c>
      <c r="O218" t="s">
        <v>29</v>
      </c>
      <c r="P218" t="s">
        <v>20</v>
      </c>
      <c r="R218" t="s">
        <v>77</v>
      </c>
      <c r="S218" t="s">
        <v>31</v>
      </c>
      <c r="T218" t="s">
        <v>32</v>
      </c>
    </row>
    <row r="219" spans="1:20" x14ac:dyDescent="0.2">
      <c r="A219">
        <v>40115</v>
      </c>
      <c r="B219" t="s">
        <v>55</v>
      </c>
      <c r="C219">
        <v>2008</v>
      </c>
      <c r="D219" t="s">
        <v>22</v>
      </c>
      <c r="E219">
        <v>1693787</v>
      </c>
      <c r="F219">
        <v>1694684</v>
      </c>
      <c r="G219" t="s">
        <v>185</v>
      </c>
      <c r="H219" t="s">
        <v>180</v>
      </c>
      <c r="I219" t="s">
        <v>181</v>
      </c>
      <c r="J219" t="s">
        <v>26</v>
      </c>
      <c r="K219" t="s">
        <v>26</v>
      </c>
      <c r="L219" t="s">
        <v>27</v>
      </c>
      <c r="M219" t="s">
        <v>29</v>
      </c>
      <c r="N219" t="s">
        <v>29</v>
      </c>
      <c r="O219" t="s">
        <v>29</v>
      </c>
      <c r="P219" t="s">
        <v>20</v>
      </c>
      <c r="R219" t="s">
        <v>30</v>
      </c>
      <c r="S219" t="s">
        <v>31</v>
      </c>
      <c r="T219" t="s">
        <v>32</v>
      </c>
    </row>
    <row r="220" spans="1:20" x14ac:dyDescent="0.2">
      <c r="A220">
        <v>40116</v>
      </c>
      <c r="B220" t="s">
        <v>55</v>
      </c>
      <c r="C220">
        <v>2008</v>
      </c>
      <c r="D220" t="s">
        <v>22</v>
      </c>
      <c r="E220">
        <v>2176960</v>
      </c>
      <c r="F220">
        <v>2177265</v>
      </c>
      <c r="G220" t="s">
        <v>185</v>
      </c>
      <c r="H220" t="s">
        <v>180</v>
      </c>
      <c r="I220" t="s">
        <v>181</v>
      </c>
      <c r="J220" t="s">
        <v>62</v>
      </c>
      <c r="K220" t="s">
        <v>26</v>
      </c>
      <c r="L220" t="s">
        <v>27</v>
      </c>
      <c r="M220" t="s">
        <v>29</v>
      </c>
      <c r="N220" t="s">
        <v>29</v>
      </c>
      <c r="O220" t="s">
        <v>29</v>
      </c>
      <c r="P220" t="s">
        <v>37</v>
      </c>
      <c r="Q220" t="s">
        <v>95</v>
      </c>
      <c r="R220" t="s">
        <v>77</v>
      </c>
      <c r="S220" t="s">
        <v>31</v>
      </c>
      <c r="T220" t="s">
        <v>32</v>
      </c>
    </row>
    <row r="221" spans="1:20" x14ac:dyDescent="0.2">
      <c r="A221">
        <v>40117</v>
      </c>
      <c r="B221" t="s">
        <v>55</v>
      </c>
      <c r="C221">
        <v>2008</v>
      </c>
      <c r="D221" t="s">
        <v>22</v>
      </c>
      <c r="E221">
        <v>2494693</v>
      </c>
      <c r="F221">
        <v>2495244</v>
      </c>
      <c r="G221" t="s">
        <v>185</v>
      </c>
      <c r="H221" t="s">
        <v>180</v>
      </c>
      <c r="I221" t="s">
        <v>181</v>
      </c>
      <c r="J221" t="s">
        <v>26</v>
      </c>
      <c r="K221" t="s">
        <v>26</v>
      </c>
      <c r="L221" t="s">
        <v>27</v>
      </c>
      <c r="M221" t="s">
        <v>29</v>
      </c>
      <c r="N221" t="s">
        <v>158</v>
      </c>
      <c r="O221" t="s">
        <v>29</v>
      </c>
      <c r="P221" t="s">
        <v>20</v>
      </c>
      <c r="R221" t="s">
        <v>30</v>
      </c>
      <c r="S221" t="s">
        <v>31</v>
      </c>
      <c r="T221" t="s">
        <v>32</v>
      </c>
    </row>
    <row r="222" spans="1:20" x14ac:dyDescent="0.2">
      <c r="A222">
        <v>40118</v>
      </c>
      <c r="B222" t="s">
        <v>128</v>
      </c>
      <c r="C222">
        <v>2008</v>
      </c>
      <c r="D222" t="s">
        <v>22</v>
      </c>
      <c r="E222">
        <v>849974</v>
      </c>
      <c r="F222">
        <v>850287</v>
      </c>
      <c r="G222" t="s">
        <v>185</v>
      </c>
      <c r="H222" t="s">
        <v>180</v>
      </c>
      <c r="I222" t="s">
        <v>181</v>
      </c>
      <c r="J222" t="s">
        <v>26</v>
      </c>
      <c r="K222" t="s">
        <v>26</v>
      </c>
      <c r="L222" t="s">
        <v>27</v>
      </c>
      <c r="M222" t="s">
        <v>53</v>
      </c>
      <c r="N222" t="s">
        <v>53</v>
      </c>
      <c r="O222" t="s">
        <v>53</v>
      </c>
      <c r="P222" t="s">
        <v>20</v>
      </c>
      <c r="R222" t="s">
        <v>30</v>
      </c>
      <c r="S222" t="s">
        <v>31</v>
      </c>
      <c r="T222" t="s">
        <v>32</v>
      </c>
    </row>
    <row r="223" spans="1:20" x14ac:dyDescent="0.2">
      <c r="A223">
        <v>40119</v>
      </c>
      <c r="B223" t="s">
        <v>128</v>
      </c>
      <c r="C223">
        <v>2008</v>
      </c>
      <c r="D223" t="s">
        <v>22</v>
      </c>
      <c r="E223">
        <v>2496288</v>
      </c>
      <c r="F223">
        <v>2496810</v>
      </c>
      <c r="G223" t="s">
        <v>185</v>
      </c>
      <c r="H223" t="s">
        <v>180</v>
      </c>
      <c r="I223" t="s">
        <v>181</v>
      </c>
      <c r="J223" t="s">
        <v>35</v>
      </c>
      <c r="K223" t="s">
        <v>51</v>
      </c>
      <c r="L223" t="s">
        <v>89</v>
      </c>
      <c r="M223" t="s">
        <v>36</v>
      </c>
      <c r="N223" t="s">
        <v>36</v>
      </c>
      <c r="O223" t="s">
        <v>29</v>
      </c>
      <c r="P223" t="s">
        <v>37</v>
      </c>
      <c r="Q223" t="s">
        <v>191</v>
      </c>
      <c r="R223" t="s">
        <v>46</v>
      </c>
      <c r="S223" t="s">
        <v>149</v>
      </c>
      <c r="T223" t="s">
        <v>32</v>
      </c>
    </row>
    <row r="224" spans="1:20" x14ac:dyDescent="0.2">
      <c r="A224">
        <v>40120</v>
      </c>
      <c r="B224" t="s">
        <v>128</v>
      </c>
      <c r="C224">
        <v>2008</v>
      </c>
      <c r="D224" t="s">
        <v>22</v>
      </c>
      <c r="E224">
        <v>3524085</v>
      </c>
      <c r="F224">
        <v>3524639</v>
      </c>
      <c r="G224" t="s">
        <v>185</v>
      </c>
      <c r="H224" t="s">
        <v>180</v>
      </c>
      <c r="I224" t="s">
        <v>181</v>
      </c>
      <c r="J224" t="s">
        <v>35</v>
      </c>
      <c r="K224" t="s">
        <v>69</v>
      </c>
      <c r="L224" t="s">
        <v>27</v>
      </c>
      <c r="M224" t="s">
        <v>29</v>
      </c>
      <c r="N224" t="s">
        <v>36</v>
      </c>
      <c r="O224" t="s">
        <v>36</v>
      </c>
      <c r="P224" t="s">
        <v>37</v>
      </c>
      <c r="Q224" t="s">
        <v>190</v>
      </c>
      <c r="R224" t="s">
        <v>77</v>
      </c>
      <c r="S224" t="s">
        <v>31</v>
      </c>
      <c r="T224" t="s">
        <v>32</v>
      </c>
    </row>
    <row r="225" spans="1:20" x14ac:dyDescent="0.2">
      <c r="A225">
        <v>40121</v>
      </c>
      <c r="B225" t="s">
        <v>128</v>
      </c>
      <c r="C225">
        <v>2008</v>
      </c>
      <c r="D225" t="s">
        <v>22</v>
      </c>
      <c r="E225">
        <v>3532280</v>
      </c>
      <c r="F225">
        <v>3532725</v>
      </c>
      <c r="G225" t="s">
        <v>185</v>
      </c>
      <c r="H225" t="s">
        <v>180</v>
      </c>
      <c r="I225" t="s">
        <v>181</v>
      </c>
      <c r="J225" t="s">
        <v>26</v>
      </c>
      <c r="K225" t="s">
        <v>69</v>
      </c>
      <c r="L225" t="s">
        <v>27</v>
      </c>
      <c r="M225" t="s">
        <v>29</v>
      </c>
      <c r="N225" t="s">
        <v>36</v>
      </c>
      <c r="O225" t="s">
        <v>36</v>
      </c>
      <c r="P225" t="s">
        <v>20</v>
      </c>
      <c r="R225" t="s">
        <v>77</v>
      </c>
      <c r="S225" t="s">
        <v>31</v>
      </c>
      <c r="T225" t="s">
        <v>32</v>
      </c>
    </row>
    <row r="226" spans="1:20" x14ac:dyDescent="0.2">
      <c r="A226">
        <v>40122</v>
      </c>
      <c r="B226" t="s">
        <v>33</v>
      </c>
      <c r="C226">
        <v>2007</v>
      </c>
      <c r="D226" t="s">
        <v>22</v>
      </c>
      <c r="E226">
        <v>1672610</v>
      </c>
      <c r="F226">
        <v>1672960</v>
      </c>
      <c r="G226" t="s">
        <v>185</v>
      </c>
      <c r="H226" t="s">
        <v>180</v>
      </c>
      <c r="I226" t="s">
        <v>181</v>
      </c>
      <c r="J226" t="s">
        <v>35</v>
      </c>
      <c r="K226" t="s">
        <v>26</v>
      </c>
      <c r="L226" t="s">
        <v>89</v>
      </c>
      <c r="M226" t="s">
        <v>36</v>
      </c>
      <c r="N226" t="s">
        <v>36</v>
      </c>
      <c r="O226" t="s">
        <v>36</v>
      </c>
      <c r="P226" t="s">
        <v>37</v>
      </c>
      <c r="Q226" t="s">
        <v>66</v>
      </c>
      <c r="R226" t="s">
        <v>30</v>
      </c>
      <c r="S226" t="s">
        <v>31</v>
      </c>
      <c r="T226" t="s">
        <v>32</v>
      </c>
    </row>
    <row r="227" spans="1:20" x14ac:dyDescent="0.2">
      <c r="A227">
        <v>40123</v>
      </c>
      <c r="B227" t="s">
        <v>33</v>
      </c>
      <c r="C227">
        <v>2007</v>
      </c>
      <c r="D227" t="s">
        <v>22</v>
      </c>
      <c r="E227">
        <v>2808830</v>
      </c>
      <c r="F227">
        <v>2809168</v>
      </c>
      <c r="G227" t="s">
        <v>185</v>
      </c>
      <c r="H227" t="s">
        <v>180</v>
      </c>
      <c r="I227" t="s">
        <v>181</v>
      </c>
      <c r="J227" t="s">
        <v>68</v>
      </c>
      <c r="K227" t="s">
        <v>51</v>
      </c>
      <c r="L227" t="s">
        <v>89</v>
      </c>
      <c r="M227" t="s">
        <v>29</v>
      </c>
      <c r="N227" t="s">
        <v>29</v>
      </c>
      <c r="O227" t="s">
        <v>29</v>
      </c>
      <c r="P227" t="s">
        <v>20</v>
      </c>
      <c r="R227" t="s">
        <v>30</v>
      </c>
      <c r="S227" t="s">
        <v>31</v>
      </c>
      <c r="T227" t="s">
        <v>32</v>
      </c>
    </row>
    <row r="228" spans="1:20" x14ac:dyDescent="0.2">
      <c r="A228">
        <v>40124</v>
      </c>
      <c r="B228" t="s">
        <v>33</v>
      </c>
      <c r="C228">
        <v>2007</v>
      </c>
      <c r="D228" t="s">
        <v>22</v>
      </c>
      <c r="E228">
        <v>2062214</v>
      </c>
      <c r="F228">
        <v>2062852</v>
      </c>
      <c r="G228" t="s">
        <v>185</v>
      </c>
      <c r="H228" t="s">
        <v>180</v>
      </c>
      <c r="I228" t="s">
        <v>181</v>
      </c>
      <c r="J228" t="s">
        <v>69</v>
      </c>
      <c r="K228" t="s">
        <v>26</v>
      </c>
      <c r="L228" t="s">
        <v>27</v>
      </c>
      <c r="M228" t="s">
        <v>29</v>
      </c>
      <c r="N228" t="s">
        <v>29</v>
      </c>
      <c r="O228" t="s">
        <v>29</v>
      </c>
      <c r="P228" t="s">
        <v>45</v>
      </c>
      <c r="R228" t="s">
        <v>46</v>
      </c>
      <c r="S228" t="s">
        <v>31</v>
      </c>
      <c r="T228" t="s">
        <v>32</v>
      </c>
    </row>
    <row r="229" spans="1:20" x14ac:dyDescent="0.2">
      <c r="A229">
        <v>40125</v>
      </c>
      <c r="B229" t="s">
        <v>33</v>
      </c>
      <c r="C229">
        <v>2007</v>
      </c>
      <c r="D229" t="s">
        <v>22</v>
      </c>
      <c r="E229">
        <v>2362328</v>
      </c>
      <c r="F229">
        <v>2362724</v>
      </c>
      <c r="G229" t="s">
        <v>185</v>
      </c>
      <c r="H229" t="s">
        <v>180</v>
      </c>
      <c r="I229" t="s">
        <v>181</v>
      </c>
      <c r="J229" t="s">
        <v>62</v>
      </c>
      <c r="K229" t="s">
        <v>51</v>
      </c>
      <c r="L229" t="s">
        <v>89</v>
      </c>
      <c r="M229" t="s">
        <v>29</v>
      </c>
      <c r="N229" t="s">
        <v>29</v>
      </c>
      <c r="O229" t="s">
        <v>29</v>
      </c>
      <c r="P229" t="s">
        <v>45</v>
      </c>
      <c r="R229" t="s">
        <v>46</v>
      </c>
      <c r="S229" t="s">
        <v>149</v>
      </c>
      <c r="T229" t="s">
        <v>32</v>
      </c>
    </row>
    <row r="230" spans="1:20" x14ac:dyDescent="0.2">
      <c r="A230">
        <v>40126</v>
      </c>
      <c r="B230" t="s">
        <v>33</v>
      </c>
      <c r="C230">
        <v>2007</v>
      </c>
      <c r="D230" t="s">
        <v>22</v>
      </c>
      <c r="E230">
        <v>2418058</v>
      </c>
      <c r="F230">
        <v>2418347</v>
      </c>
      <c r="G230" t="s">
        <v>185</v>
      </c>
      <c r="H230" t="s">
        <v>180</v>
      </c>
      <c r="I230" t="s">
        <v>181</v>
      </c>
      <c r="J230" t="s">
        <v>26</v>
      </c>
      <c r="K230" t="s">
        <v>26</v>
      </c>
      <c r="L230" t="s">
        <v>27</v>
      </c>
      <c r="M230" t="s">
        <v>44</v>
      </c>
      <c r="N230" t="s">
        <v>44</v>
      </c>
      <c r="O230" t="s">
        <v>44</v>
      </c>
      <c r="P230" t="s">
        <v>37</v>
      </c>
      <c r="Q230" t="s">
        <v>66</v>
      </c>
      <c r="R230" t="s">
        <v>77</v>
      </c>
      <c r="S230" t="s">
        <v>31</v>
      </c>
      <c r="T230" t="s">
        <v>32</v>
      </c>
    </row>
    <row r="231" spans="1:20" x14ac:dyDescent="0.2">
      <c r="A231">
        <v>40127</v>
      </c>
      <c r="B231" t="s">
        <v>131</v>
      </c>
      <c r="C231">
        <v>2008</v>
      </c>
      <c r="D231" t="s">
        <v>22</v>
      </c>
      <c r="E231">
        <v>851626</v>
      </c>
      <c r="F231">
        <v>851955</v>
      </c>
      <c r="G231" t="s">
        <v>185</v>
      </c>
      <c r="H231" t="s">
        <v>180</v>
      </c>
      <c r="I231" t="s">
        <v>181</v>
      </c>
      <c r="J231" t="s">
        <v>26</v>
      </c>
      <c r="K231" t="s">
        <v>26</v>
      </c>
      <c r="L231" t="s">
        <v>27</v>
      </c>
      <c r="M231" t="s">
        <v>53</v>
      </c>
      <c r="N231" t="s">
        <v>53</v>
      </c>
      <c r="O231" t="s">
        <v>53</v>
      </c>
      <c r="P231" t="s">
        <v>20</v>
      </c>
      <c r="R231" t="s">
        <v>30</v>
      </c>
      <c r="S231" t="s">
        <v>31</v>
      </c>
      <c r="T231" t="s">
        <v>32</v>
      </c>
    </row>
    <row r="232" spans="1:20" x14ac:dyDescent="0.2">
      <c r="A232">
        <v>40128</v>
      </c>
      <c r="B232" t="s">
        <v>131</v>
      </c>
      <c r="C232">
        <v>2008</v>
      </c>
      <c r="D232" t="s">
        <v>22</v>
      </c>
      <c r="E232">
        <v>934645</v>
      </c>
      <c r="F232">
        <v>935307</v>
      </c>
      <c r="G232" t="s">
        <v>185</v>
      </c>
      <c r="H232" t="s">
        <v>180</v>
      </c>
      <c r="I232" t="s">
        <v>181</v>
      </c>
      <c r="J232" t="s">
        <v>26</v>
      </c>
      <c r="K232" t="s">
        <v>26</v>
      </c>
      <c r="L232" t="s">
        <v>27</v>
      </c>
      <c r="M232" t="s">
        <v>36</v>
      </c>
      <c r="N232" t="s">
        <v>36</v>
      </c>
      <c r="O232" t="s">
        <v>36</v>
      </c>
      <c r="P232" t="s">
        <v>20</v>
      </c>
      <c r="R232" t="s">
        <v>30</v>
      </c>
      <c r="S232" t="s">
        <v>31</v>
      </c>
      <c r="T232" t="s">
        <v>32</v>
      </c>
    </row>
    <row r="233" spans="1:20" x14ac:dyDescent="0.2">
      <c r="A233">
        <v>40129</v>
      </c>
      <c r="B233" t="s">
        <v>131</v>
      </c>
      <c r="C233">
        <v>2008</v>
      </c>
      <c r="D233" t="s">
        <v>22</v>
      </c>
      <c r="E233">
        <v>995338</v>
      </c>
      <c r="F233">
        <v>995634</v>
      </c>
      <c r="G233" t="s">
        <v>185</v>
      </c>
      <c r="H233" t="s">
        <v>180</v>
      </c>
      <c r="I233" t="s">
        <v>181</v>
      </c>
      <c r="J233" t="s">
        <v>26</v>
      </c>
      <c r="K233" t="s">
        <v>26</v>
      </c>
      <c r="L233" t="s">
        <v>27</v>
      </c>
      <c r="M233" t="s">
        <v>53</v>
      </c>
      <c r="N233" t="s">
        <v>53</v>
      </c>
      <c r="O233" t="s">
        <v>53</v>
      </c>
      <c r="P233" t="s">
        <v>37</v>
      </c>
      <c r="Q233" t="s">
        <v>40</v>
      </c>
      <c r="R233" t="s">
        <v>30</v>
      </c>
      <c r="S233" t="s">
        <v>31</v>
      </c>
      <c r="T233" t="s">
        <v>32</v>
      </c>
    </row>
    <row r="234" spans="1:20" x14ac:dyDescent="0.2">
      <c r="A234">
        <v>40130</v>
      </c>
      <c r="B234" t="s">
        <v>131</v>
      </c>
      <c r="C234">
        <v>2008</v>
      </c>
      <c r="D234" t="s">
        <v>22</v>
      </c>
      <c r="E234">
        <v>1064751</v>
      </c>
      <c r="F234">
        <v>1065096</v>
      </c>
      <c r="G234" t="s">
        <v>185</v>
      </c>
      <c r="H234" t="s">
        <v>180</v>
      </c>
      <c r="I234" t="s">
        <v>181</v>
      </c>
      <c r="J234" t="s">
        <v>35</v>
      </c>
      <c r="K234" t="s">
        <v>26</v>
      </c>
      <c r="L234" t="s">
        <v>27</v>
      </c>
      <c r="M234" t="s">
        <v>53</v>
      </c>
      <c r="N234" t="s">
        <v>53</v>
      </c>
      <c r="O234" t="s">
        <v>53</v>
      </c>
      <c r="P234" t="s">
        <v>20</v>
      </c>
      <c r="R234" t="s">
        <v>77</v>
      </c>
      <c r="S234" t="s">
        <v>31</v>
      </c>
      <c r="T234" t="s">
        <v>32</v>
      </c>
    </row>
    <row r="235" spans="1:20" x14ac:dyDescent="0.2">
      <c r="A235">
        <v>40132</v>
      </c>
      <c r="B235" t="s">
        <v>131</v>
      </c>
      <c r="C235">
        <v>2008</v>
      </c>
      <c r="D235" t="s">
        <v>22</v>
      </c>
      <c r="E235">
        <v>1161718</v>
      </c>
      <c r="F235">
        <v>1162489</v>
      </c>
      <c r="G235" t="s">
        <v>185</v>
      </c>
      <c r="H235" t="s">
        <v>180</v>
      </c>
      <c r="I235" t="s">
        <v>181</v>
      </c>
      <c r="J235" t="s">
        <v>69</v>
      </c>
      <c r="K235" t="s">
        <v>26</v>
      </c>
      <c r="L235" t="s">
        <v>27</v>
      </c>
      <c r="M235" t="s">
        <v>53</v>
      </c>
      <c r="N235" t="s">
        <v>53</v>
      </c>
      <c r="O235" t="s">
        <v>29</v>
      </c>
      <c r="P235" t="s">
        <v>37</v>
      </c>
      <c r="Q235" t="s">
        <v>54</v>
      </c>
      <c r="R235" t="s">
        <v>46</v>
      </c>
      <c r="S235" t="s">
        <v>31</v>
      </c>
      <c r="T235" t="s">
        <v>32</v>
      </c>
    </row>
    <row r="236" spans="1:20" x14ac:dyDescent="0.2">
      <c r="A236">
        <v>40133</v>
      </c>
      <c r="B236" t="s">
        <v>131</v>
      </c>
      <c r="C236">
        <v>2008</v>
      </c>
      <c r="D236" t="s">
        <v>22</v>
      </c>
      <c r="E236">
        <v>1376643</v>
      </c>
      <c r="F236">
        <v>1377102</v>
      </c>
      <c r="G236" t="s">
        <v>185</v>
      </c>
      <c r="H236" t="s">
        <v>180</v>
      </c>
      <c r="I236" t="s">
        <v>181</v>
      </c>
      <c r="J236" t="s">
        <v>26</v>
      </c>
      <c r="K236" t="s">
        <v>26</v>
      </c>
      <c r="L236" t="s">
        <v>27</v>
      </c>
      <c r="M236" t="s">
        <v>53</v>
      </c>
      <c r="N236" t="s">
        <v>53</v>
      </c>
      <c r="O236" t="s">
        <v>53</v>
      </c>
      <c r="P236" t="s">
        <v>20</v>
      </c>
      <c r="R236" t="s">
        <v>30</v>
      </c>
      <c r="S236" t="s">
        <v>31</v>
      </c>
      <c r="T236" t="s">
        <v>32</v>
      </c>
    </row>
    <row r="237" spans="1:20" x14ac:dyDescent="0.2">
      <c r="A237">
        <v>40134</v>
      </c>
      <c r="B237" t="s">
        <v>131</v>
      </c>
      <c r="C237">
        <v>2008</v>
      </c>
      <c r="D237" t="s">
        <v>22</v>
      </c>
      <c r="E237">
        <v>1394406</v>
      </c>
      <c r="F237">
        <v>1394965</v>
      </c>
      <c r="G237" t="s">
        <v>185</v>
      </c>
      <c r="H237" t="s">
        <v>180</v>
      </c>
      <c r="I237" t="s">
        <v>181</v>
      </c>
      <c r="J237" t="s">
        <v>26</v>
      </c>
      <c r="K237" t="s">
        <v>26</v>
      </c>
      <c r="L237" t="s">
        <v>27</v>
      </c>
      <c r="M237" t="s">
        <v>36</v>
      </c>
      <c r="N237" t="s">
        <v>36</v>
      </c>
      <c r="O237" t="s">
        <v>36</v>
      </c>
      <c r="P237" t="s">
        <v>37</v>
      </c>
      <c r="Q237" t="s">
        <v>170</v>
      </c>
      <c r="R237" t="s">
        <v>30</v>
      </c>
      <c r="S237" t="s">
        <v>31</v>
      </c>
      <c r="T237" t="s">
        <v>32</v>
      </c>
    </row>
    <row r="238" spans="1:20" x14ac:dyDescent="0.2">
      <c r="A238">
        <v>40135</v>
      </c>
      <c r="B238" t="s">
        <v>131</v>
      </c>
      <c r="C238">
        <v>2008</v>
      </c>
      <c r="D238" t="s">
        <v>22</v>
      </c>
      <c r="E238">
        <v>2835880</v>
      </c>
      <c r="F238">
        <v>2836312</v>
      </c>
      <c r="G238" t="s">
        <v>185</v>
      </c>
      <c r="H238" t="s">
        <v>180</v>
      </c>
      <c r="I238" t="s">
        <v>181</v>
      </c>
      <c r="J238" t="s">
        <v>35</v>
      </c>
      <c r="K238" t="s">
        <v>26</v>
      </c>
      <c r="L238" t="s">
        <v>27</v>
      </c>
      <c r="M238" t="s">
        <v>36</v>
      </c>
      <c r="N238" t="s">
        <v>36</v>
      </c>
      <c r="O238" t="s">
        <v>36</v>
      </c>
      <c r="P238" t="s">
        <v>20</v>
      </c>
      <c r="R238" t="s">
        <v>30</v>
      </c>
      <c r="S238" t="s">
        <v>31</v>
      </c>
      <c r="T238" t="s">
        <v>32</v>
      </c>
    </row>
    <row r="239" spans="1:20" x14ac:dyDescent="0.2">
      <c r="A239">
        <v>40136</v>
      </c>
      <c r="B239" t="s">
        <v>131</v>
      </c>
      <c r="C239">
        <v>2008</v>
      </c>
      <c r="D239" t="s">
        <v>22</v>
      </c>
      <c r="E239">
        <v>2858141</v>
      </c>
      <c r="F239">
        <v>2858772</v>
      </c>
      <c r="G239" t="s">
        <v>185</v>
      </c>
      <c r="H239" t="s">
        <v>180</v>
      </c>
      <c r="I239" t="s">
        <v>181</v>
      </c>
      <c r="J239" t="s">
        <v>69</v>
      </c>
      <c r="K239" t="s">
        <v>26</v>
      </c>
      <c r="L239" t="s">
        <v>27</v>
      </c>
      <c r="M239" t="s">
        <v>29</v>
      </c>
      <c r="N239" t="s">
        <v>29</v>
      </c>
      <c r="O239" t="s">
        <v>29</v>
      </c>
      <c r="P239" t="s">
        <v>37</v>
      </c>
      <c r="Q239" t="s">
        <v>193</v>
      </c>
      <c r="R239" t="s">
        <v>46</v>
      </c>
      <c r="S239" t="s">
        <v>31</v>
      </c>
      <c r="T239" t="s">
        <v>32</v>
      </c>
    </row>
    <row r="240" spans="1:20" x14ac:dyDescent="0.2">
      <c r="A240">
        <v>40137</v>
      </c>
      <c r="B240" t="s">
        <v>131</v>
      </c>
      <c r="C240">
        <v>2008</v>
      </c>
      <c r="D240" t="s">
        <v>22</v>
      </c>
      <c r="E240">
        <v>2910893</v>
      </c>
      <c r="F240">
        <v>2911201</v>
      </c>
      <c r="G240" t="s">
        <v>185</v>
      </c>
      <c r="H240" t="s">
        <v>180</v>
      </c>
      <c r="I240" t="s">
        <v>181</v>
      </c>
      <c r="J240" t="s">
        <v>62</v>
      </c>
      <c r="K240" t="s">
        <v>26</v>
      </c>
      <c r="L240" t="s">
        <v>27</v>
      </c>
      <c r="M240" t="s">
        <v>29</v>
      </c>
      <c r="N240" t="s">
        <v>29</v>
      </c>
      <c r="O240" t="s">
        <v>29</v>
      </c>
      <c r="P240" t="s">
        <v>37</v>
      </c>
      <c r="Q240" t="s">
        <v>76</v>
      </c>
      <c r="R240" t="s">
        <v>77</v>
      </c>
      <c r="S240" t="s">
        <v>31</v>
      </c>
      <c r="T240" t="s">
        <v>32</v>
      </c>
    </row>
    <row r="241" spans="1:20" x14ac:dyDescent="0.2">
      <c r="A241">
        <v>40138</v>
      </c>
      <c r="B241" t="s">
        <v>131</v>
      </c>
      <c r="C241">
        <v>2008</v>
      </c>
      <c r="D241" t="s">
        <v>22</v>
      </c>
      <c r="E241">
        <v>2972211</v>
      </c>
      <c r="F241">
        <v>2972441</v>
      </c>
      <c r="G241" t="s">
        <v>185</v>
      </c>
      <c r="H241" t="s">
        <v>180</v>
      </c>
      <c r="I241" t="s">
        <v>181</v>
      </c>
      <c r="J241" t="s">
        <v>26</v>
      </c>
      <c r="K241" t="s">
        <v>26</v>
      </c>
      <c r="L241" t="s">
        <v>27</v>
      </c>
      <c r="M241" t="s">
        <v>29</v>
      </c>
      <c r="N241" t="s">
        <v>29</v>
      </c>
      <c r="O241" t="s">
        <v>29</v>
      </c>
      <c r="P241" t="s">
        <v>20</v>
      </c>
      <c r="R241" t="s">
        <v>30</v>
      </c>
      <c r="S241" t="s">
        <v>31</v>
      </c>
      <c r="T241" t="s">
        <v>32</v>
      </c>
    </row>
    <row r="242" spans="1:20" x14ac:dyDescent="0.2">
      <c r="A242">
        <v>40139</v>
      </c>
      <c r="B242" t="s">
        <v>131</v>
      </c>
      <c r="C242">
        <v>2008</v>
      </c>
      <c r="D242" t="s">
        <v>22</v>
      </c>
      <c r="E242">
        <v>3176027</v>
      </c>
      <c r="F242">
        <v>3176331</v>
      </c>
      <c r="G242" t="s">
        <v>185</v>
      </c>
      <c r="H242" t="s">
        <v>180</v>
      </c>
      <c r="I242" t="s">
        <v>181</v>
      </c>
      <c r="J242" t="s">
        <v>26</v>
      </c>
      <c r="K242" t="s">
        <v>26</v>
      </c>
      <c r="L242" t="s">
        <v>27</v>
      </c>
      <c r="M242" t="s">
        <v>158</v>
      </c>
      <c r="N242" t="s">
        <v>158</v>
      </c>
      <c r="O242" t="s">
        <v>158</v>
      </c>
      <c r="P242" t="s">
        <v>20</v>
      </c>
      <c r="R242" t="s">
        <v>30</v>
      </c>
      <c r="S242" t="s">
        <v>31</v>
      </c>
      <c r="T242" t="s">
        <v>32</v>
      </c>
    </row>
    <row r="243" spans="1:20" x14ac:dyDescent="0.2">
      <c r="A243">
        <v>40140</v>
      </c>
      <c r="B243" t="s">
        <v>131</v>
      </c>
      <c r="C243">
        <v>2008</v>
      </c>
      <c r="D243" t="s">
        <v>22</v>
      </c>
      <c r="E243">
        <v>3188925</v>
      </c>
      <c r="F243">
        <v>3189641</v>
      </c>
      <c r="G243" t="s">
        <v>185</v>
      </c>
      <c r="H243" t="s">
        <v>180</v>
      </c>
      <c r="I243" t="s">
        <v>181</v>
      </c>
      <c r="J243" t="s">
        <v>26</v>
      </c>
      <c r="K243" t="s">
        <v>26</v>
      </c>
      <c r="L243" t="s">
        <v>27</v>
      </c>
      <c r="M243" t="s">
        <v>36</v>
      </c>
      <c r="N243" t="s">
        <v>36</v>
      </c>
      <c r="O243" t="s">
        <v>36</v>
      </c>
      <c r="P243" t="s">
        <v>37</v>
      </c>
      <c r="Q243" t="s">
        <v>194</v>
      </c>
      <c r="R243" t="s">
        <v>30</v>
      </c>
      <c r="S243" t="s">
        <v>31</v>
      </c>
      <c r="T243" t="s">
        <v>32</v>
      </c>
    </row>
    <row r="244" spans="1:20" x14ac:dyDescent="0.2">
      <c r="A244">
        <v>40141</v>
      </c>
      <c r="B244" t="s">
        <v>131</v>
      </c>
      <c r="C244">
        <v>2008</v>
      </c>
      <c r="D244" t="s">
        <v>22</v>
      </c>
      <c r="E244">
        <v>4706319</v>
      </c>
      <c r="F244">
        <v>4706877</v>
      </c>
      <c r="G244" t="s">
        <v>185</v>
      </c>
      <c r="H244" t="s">
        <v>180</v>
      </c>
      <c r="I244" t="s">
        <v>181</v>
      </c>
      <c r="J244" t="s">
        <v>69</v>
      </c>
      <c r="K244" t="s">
        <v>62</v>
      </c>
      <c r="L244" t="s">
        <v>89</v>
      </c>
      <c r="M244" t="s">
        <v>29</v>
      </c>
      <c r="N244" t="s">
        <v>29</v>
      </c>
      <c r="O244" t="s">
        <v>29</v>
      </c>
      <c r="P244" t="s">
        <v>20</v>
      </c>
      <c r="R244" t="s">
        <v>46</v>
      </c>
      <c r="S244" t="s">
        <v>31</v>
      </c>
      <c r="T244" t="s">
        <v>32</v>
      </c>
    </row>
    <row r="245" spans="1:20" x14ac:dyDescent="0.2">
      <c r="A245">
        <v>40142</v>
      </c>
      <c r="B245" t="s">
        <v>131</v>
      </c>
      <c r="C245">
        <v>2008</v>
      </c>
      <c r="D245" t="s">
        <v>22</v>
      </c>
      <c r="E245">
        <v>4707227</v>
      </c>
      <c r="F245">
        <v>4707479</v>
      </c>
      <c r="G245" t="s">
        <v>185</v>
      </c>
      <c r="H245" t="s">
        <v>180</v>
      </c>
      <c r="I245" t="s">
        <v>181</v>
      </c>
      <c r="J245" t="s">
        <v>62</v>
      </c>
      <c r="K245" t="s">
        <v>69</v>
      </c>
      <c r="L245" t="s">
        <v>63</v>
      </c>
      <c r="M245" t="s">
        <v>29</v>
      </c>
      <c r="N245" t="s">
        <v>29</v>
      </c>
      <c r="O245" t="s">
        <v>29</v>
      </c>
      <c r="P245" t="s">
        <v>20</v>
      </c>
      <c r="R245" t="s">
        <v>77</v>
      </c>
      <c r="S245" t="s">
        <v>31</v>
      </c>
      <c r="T245" t="s">
        <v>32</v>
      </c>
    </row>
    <row r="246" spans="1:20" x14ac:dyDescent="0.2">
      <c r="A246">
        <v>40143</v>
      </c>
      <c r="B246" t="s">
        <v>131</v>
      </c>
      <c r="C246">
        <v>2008</v>
      </c>
      <c r="D246" t="s">
        <v>22</v>
      </c>
      <c r="E246">
        <v>4887511</v>
      </c>
      <c r="F246">
        <v>4888178</v>
      </c>
      <c r="G246" t="s">
        <v>185</v>
      </c>
      <c r="H246" t="s">
        <v>180</v>
      </c>
      <c r="I246" t="s">
        <v>181</v>
      </c>
      <c r="J246" t="s">
        <v>69</v>
      </c>
      <c r="K246" t="s">
        <v>26</v>
      </c>
      <c r="L246" t="s">
        <v>89</v>
      </c>
      <c r="M246" t="s">
        <v>29</v>
      </c>
      <c r="N246" t="s">
        <v>29</v>
      </c>
      <c r="O246" t="s">
        <v>29</v>
      </c>
      <c r="P246" t="s">
        <v>20</v>
      </c>
      <c r="R246" t="s">
        <v>46</v>
      </c>
      <c r="S246" t="s">
        <v>31</v>
      </c>
      <c r="T246" t="s">
        <v>32</v>
      </c>
    </row>
    <row r="247" spans="1:20" x14ac:dyDescent="0.2">
      <c r="A247">
        <v>40144</v>
      </c>
      <c r="B247" t="s">
        <v>131</v>
      </c>
      <c r="C247">
        <v>2008</v>
      </c>
      <c r="D247" t="s">
        <v>22</v>
      </c>
      <c r="E247">
        <v>4918268</v>
      </c>
      <c r="F247">
        <v>4918724</v>
      </c>
      <c r="G247" t="s">
        <v>185</v>
      </c>
      <c r="H247" t="s">
        <v>180</v>
      </c>
      <c r="I247" t="s">
        <v>181</v>
      </c>
      <c r="J247" t="s">
        <v>26</v>
      </c>
      <c r="K247" t="s">
        <v>26</v>
      </c>
      <c r="L247" t="s">
        <v>27</v>
      </c>
      <c r="M247" t="s">
        <v>29</v>
      </c>
      <c r="N247" t="s">
        <v>29</v>
      </c>
      <c r="O247" t="s">
        <v>29</v>
      </c>
      <c r="P247" t="s">
        <v>37</v>
      </c>
      <c r="Q247" t="s">
        <v>66</v>
      </c>
      <c r="R247" t="s">
        <v>30</v>
      </c>
      <c r="S247" t="s">
        <v>31</v>
      </c>
      <c r="T247" t="s">
        <v>32</v>
      </c>
    </row>
    <row r="248" spans="1:20" x14ac:dyDescent="0.2">
      <c r="A248">
        <v>40145</v>
      </c>
      <c r="B248" t="s">
        <v>131</v>
      </c>
      <c r="C248">
        <v>2008</v>
      </c>
      <c r="D248" t="s">
        <v>22</v>
      </c>
      <c r="E248">
        <v>1701362</v>
      </c>
      <c r="F248">
        <v>1701951</v>
      </c>
      <c r="G248" t="s">
        <v>185</v>
      </c>
      <c r="H248" t="s">
        <v>180</v>
      </c>
      <c r="I248" t="s">
        <v>181</v>
      </c>
      <c r="J248" t="s">
        <v>26</v>
      </c>
      <c r="K248" t="s">
        <v>26</v>
      </c>
      <c r="L248" t="s">
        <v>27</v>
      </c>
      <c r="M248" t="s">
        <v>29</v>
      </c>
      <c r="N248" t="s">
        <v>29</v>
      </c>
      <c r="O248" t="s">
        <v>29</v>
      </c>
      <c r="P248" t="s">
        <v>20</v>
      </c>
      <c r="R248" t="s">
        <v>46</v>
      </c>
      <c r="S248" t="s">
        <v>31</v>
      </c>
      <c r="T248" t="s">
        <v>32</v>
      </c>
    </row>
    <row r="249" spans="1:20" x14ac:dyDescent="0.2">
      <c r="A249">
        <v>40146</v>
      </c>
      <c r="B249" t="s">
        <v>131</v>
      </c>
      <c r="C249">
        <v>2008</v>
      </c>
      <c r="D249" t="s">
        <v>22</v>
      </c>
      <c r="E249">
        <v>1876840</v>
      </c>
      <c r="F249">
        <v>1877366</v>
      </c>
      <c r="G249" t="s">
        <v>185</v>
      </c>
      <c r="H249" t="s">
        <v>180</v>
      </c>
      <c r="I249" t="s">
        <v>181</v>
      </c>
      <c r="J249" t="s">
        <v>26</v>
      </c>
      <c r="K249" t="s">
        <v>26</v>
      </c>
      <c r="L249" t="s">
        <v>27</v>
      </c>
      <c r="M249" t="s">
        <v>29</v>
      </c>
      <c r="N249" t="s">
        <v>29</v>
      </c>
      <c r="O249" t="s">
        <v>29</v>
      </c>
      <c r="P249" t="s">
        <v>20</v>
      </c>
      <c r="R249" t="s">
        <v>77</v>
      </c>
      <c r="S249" t="s">
        <v>31</v>
      </c>
      <c r="T249" t="s">
        <v>32</v>
      </c>
    </row>
    <row r="250" spans="1:20" x14ac:dyDescent="0.2">
      <c r="A250">
        <v>40147</v>
      </c>
      <c r="B250" t="s">
        <v>131</v>
      </c>
      <c r="C250">
        <v>2008</v>
      </c>
      <c r="D250" t="s">
        <v>22</v>
      </c>
      <c r="E250">
        <v>1910079</v>
      </c>
      <c r="F250">
        <v>1910589</v>
      </c>
      <c r="G250" t="s">
        <v>185</v>
      </c>
      <c r="H250" t="s">
        <v>180</v>
      </c>
      <c r="I250" t="s">
        <v>181</v>
      </c>
      <c r="J250" t="s">
        <v>26</v>
      </c>
      <c r="K250" t="s">
        <v>26</v>
      </c>
      <c r="L250" t="s">
        <v>27</v>
      </c>
      <c r="M250" t="s">
        <v>44</v>
      </c>
      <c r="N250" t="s">
        <v>29</v>
      </c>
      <c r="O250" t="s">
        <v>29</v>
      </c>
      <c r="P250" t="s">
        <v>20</v>
      </c>
      <c r="R250" t="s">
        <v>77</v>
      </c>
      <c r="S250" t="s">
        <v>31</v>
      </c>
      <c r="T250" t="s">
        <v>32</v>
      </c>
    </row>
    <row r="251" spans="1:20" x14ac:dyDescent="0.2">
      <c r="A251">
        <v>40148</v>
      </c>
      <c r="B251" t="s">
        <v>131</v>
      </c>
      <c r="C251">
        <v>2008</v>
      </c>
      <c r="D251" t="s">
        <v>22</v>
      </c>
      <c r="E251">
        <v>5082178</v>
      </c>
      <c r="F251">
        <v>5082564</v>
      </c>
      <c r="G251" t="s">
        <v>185</v>
      </c>
      <c r="H251" t="s">
        <v>180</v>
      </c>
      <c r="I251" t="s">
        <v>181</v>
      </c>
      <c r="J251" t="s">
        <v>26</v>
      </c>
      <c r="K251" t="s">
        <v>26</v>
      </c>
      <c r="L251" t="s">
        <v>27</v>
      </c>
      <c r="M251" t="s">
        <v>36</v>
      </c>
      <c r="N251" t="s">
        <v>36</v>
      </c>
      <c r="O251" t="s">
        <v>36</v>
      </c>
      <c r="P251" t="s">
        <v>45</v>
      </c>
      <c r="R251" t="s">
        <v>30</v>
      </c>
      <c r="S251" t="s">
        <v>31</v>
      </c>
      <c r="T251" t="s">
        <v>32</v>
      </c>
    </row>
    <row r="252" spans="1:20" x14ac:dyDescent="0.2">
      <c r="A252">
        <v>40149</v>
      </c>
      <c r="B252" t="s">
        <v>131</v>
      </c>
      <c r="C252">
        <v>2008</v>
      </c>
      <c r="D252" t="s">
        <v>22</v>
      </c>
      <c r="E252">
        <v>3653634</v>
      </c>
      <c r="F252">
        <v>3654091</v>
      </c>
      <c r="G252" t="s">
        <v>185</v>
      </c>
      <c r="H252" t="s">
        <v>180</v>
      </c>
      <c r="I252" t="s">
        <v>181</v>
      </c>
      <c r="J252" t="s">
        <v>26</v>
      </c>
      <c r="K252" t="s">
        <v>26</v>
      </c>
      <c r="L252" t="s">
        <v>27</v>
      </c>
      <c r="M252" t="s">
        <v>44</v>
      </c>
      <c r="N252" t="s">
        <v>44</v>
      </c>
      <c r="O252" t="s">
        <v>44</v>
      </c>
      <c r="P252" t="s">
        <v>45</v>
      </c>
      <c r="R252" t="s">
        <v>30</v>
      </c>
      <c r="S252" t="s">
        <v>31</v>
      </c>
      <c r="T252" t="s">
        <v>32</v>
      </c>
    </row>
    <row r="253" spans="1:20" x14ac:dyDescent="0.2">
      <c r="A253">
        <v>40150</v>
      </c>
      <c r="B253" t="s">
        <v>131</v>
      </c>
      <c r="C253">
        <v>2008</v>
      </c>
      <c r="D253" t="s">
        <v>22</v>
      </c>
      <c r="E253">
        <v>3671244</v>
      </c>
      <c r="F253">
        <v>3671685</v>
      </c>
      <c r="G253" t="s">
        <v>185</v>
      </c>
      <c r="H253" t="s">
        <v>180</v>
      </c>
      <c r="I253" t="s">
        <v>181</v>
      </c>
      <c r="J253" t="s">
        <v>26</v>
      </c>
      <c r="K253" t="s">
        <v>26</v>
      </c>
      <c r="L253" t="s">
        <v>27</v>
      </c>
      <c r="M253" t="s">
        <v>44</v>
      </c>
      <c r="N253" t="s">
        <v>44</v>
      </c>
      <c r="O253" t="s">
        <v>44</v>
      </c>
      <c r="P253" t="s">
        <v>45</v>
      </c>
      <c r="R253" t="s">
        <v>77</v>
      </c>
      <c r="S253" t="s">
        <v>31</v>
      </c>
      <c r="T253" t="s">
        <v>32</v>
      </c>
    </row>
    <row r="254" spans="1:20" x14ac:dyDescent="0.2">
      <c r="A254">
        <v>40151</v>
      </c>
      <c r="B254" t="s">
        <v>131</v>
      </c>
      <c r="C254">
        <v>2008</v>
      </c>
      <c r="D254" t="s">
        <v>22</v>
      </c>
      <c r="E254">
        <v>3787075</v>
      </c>
      <c r="F254">
        <v>3787634</v>
      </c>
      <c r="G254" t="s">
        <v>185</v>
      </c>
      <c r="H254" t="s">
        <v>180</v>
      </c>
      <c r="I254" t="s">
        <v>181</v>
      </c>
      <c r="J254" t="s">
        <v>62</v>
      </c>
      <c r="K254" t="s">
        <v>26</v>
      </c>
      <c r="L254" t="s">
        <v>27</v>
      </c>
      <c r="M254" t="s">
        <v>29</v>
      </c>
      <c r="N254" t="s">
        <v>29</v>
      </c>
      <c r="O254" t="s">
        <v>29</v>
      </c>
      <c r="P254" t="s">
        <v>37</v>
      </c>
      <c r="Q254" t="s">
        <v>190</v>
      </c>
      <c r="R254" t="s">
        <v>77</v>
      </c>
      <c r="S254" t="s">
        <v>31</v>
      </c>
      <c r="T254" t="s">
        <v>32</v>
      </c>
    </row>
    <row r="255" spans="1:20" x14ac:dyDescent="0.2">
      <c r="A255">
        <v>40152</v>
      </c>
      <c r="B255" t="s">
        <v>131</v>
      </c>
      <c r="C255">
        <v>2008</v>
      </c>
      <c r="D255" t="s">
        <v>22</v>
      </c>
      <c r="E255">
        <v>4204943</v>
      </c>
      <c r="F255">
        <v>4205244</v>
      </c>
      <c r="G255" t="s">
        <v>185</v>
      </c>
      <c r="H255" t="s">
        <v>180</v>
      </c>
      <c r="I255" t="s">
        <v>181</v>
      </c>
      <c r="J255" t="s">
        <v>26</v>
      </c>
      <c r="K255" t="s">
        <v>26</v>
      </c>
      <c r="L255" t="s">
        <v>27</v>
      </c>
      <c r="M255" t="s">
        <v>29</v>
      </c>
      <c r="N255" t="s">
        <v>29</v>
      </c>
      <c r="O255" t="s">
        <v>29</v>
      </c>
      <c r="P255" t="s">
        <v>20</v>
      </c>
      <c r="R255" t="s">
        <v>77</v>
      </c>
      <c r="S255" t="s">
        <v>31</v>
      </c>
      <c r="T255" t="s">
        <v>32</v>
      </c>
    </row>
    <row r="256" spans="1:20" x14ac:dyDescent="0.2">
      <c r="A256">
        <v>40153</v>
      </c>
      <c r="B256" t="s">
        <v>139</v>
      </c>
      <c r="C256">
        <v>2008</v>
      </c>
      <c r="D256" t="s">
        <v>22</v>
      </c>
      <c r="E256">
        <v>1916328</v>
      </c>
      <c r="F256">
        <v>1916665</v>
      </c>
      <c r="G256" t="s">
        <v>185</v>
      </c>
      <c r="H256" t="s">
        <v>180</v>
      </c>
      <c r="I256" t="s">
        <v>181</v>
      </c>
      <c r="J256" t="s">
        <v>26</v>
      </c>
      <c r="K256" t="s">
        <v>69</v>
      </c>
      <c r="L256" t="s">
        <v>63</v>
      </c>
      <c r="M256" t="s">
        <v>53</v>
      </c>
      <c r="N256" t="s">
        <v>53</v>
      </c>
      <c r="O256" t="s">
        <v>29</v>
      </c>
      <c r="P256" t="s">
        <v>20</v>
      </c>
      <c r="R256" t="s">
        <v>77</v>
      </c>
      <c r="S256" t="s">
        <v>31</v>
      </c>
      <c r="T256" t="s">
        <v>32</v>
      </c>
    </row>
    <row r="257" spans="1:20" x14ac:dyDescent="0.2">
      <c r="A257">
        <v>40154</v>
      </c>
      <c r="B257" t="s">
        <v>139</v>
      </c>
      <c r="C257">
        <v>2008</v>
      </c>
      <c r="D257" t="s">
        <v>22</v>
      </c>
      <c r="E257">
        <v>2162078</v>
      </c>
      <c r="F257">
        <v>2162448</v>
      </c>
      <c r="G257" t="s">
        <v>185</v>
      </c>
      <c r="H257" t="s">
        <v>180</v>
      </c>
      <c r="I257" t="s">
        <v>181</v>
      </c>
      <c r="J257" t="s">
        <v>26</v>
      </c>
      <c r="K257" t="s">
        <v>51</v>
      </c>
      <c r="L257" t="s">
        <v>27</v>
      </c>
      <c r="M257" t="s">
        <v>29</v>
      </c>
      <c r="N257" t="s">
        <v>29</v>
      </c>
      <c r="O257" t="s">
        <v>29</v>
      </c>
      <c r="P257" t="s">
        <v>20</v>
      </c>
      <c r="R257" t="s">
        <v>77</v>
      </c>
      <c r="S257" t="s">
        <v>31</v>
      </c>
      <c r="T257" t="s">
        <v>32</v>
      </c>
    </row>
    <row r="258" spans="1:20" x14ac:dyDescent="0.2">
      <c r="A258">
        <v>40155</v>
      </c>
      <c r="B258" t="s">
        <v>139</v>
      </c>
      <c r="C258">
        <v>2008</v>
      </c>
      <c r="D258" t="s">
        <v>22</v>
      </c>
      <c r="E258">
        <v>2989169</v>
      </c>
      <c r="F258">
        <v>2989521</v>
      </c>
      <c r="G258" t="s">
        <v>185</v>
      </c>
      <c r="H258" t="s">
        <v>180</v>
      </c>
      <c r="I258" t="s">
        <v>181</v>
      </c>
      <c r="J258" t="s">
        <v>26</v>
      </c>
      <c r="K258" t="s">
        <v>26</v>
      </c>
      <c r="L258" t="s">
        <v>27</v>
      </c>
      <c r="M258" t="s">
        <v>36</v>
      </c>
      <c r="N258" t="s">
        <v>36</v>
      </c>
      <c r="O258" t="s">
        <v>36</v>
      </c>
      <c r="P258" t="s">
        <v>20</v>
      </c>
      <c r="R258" t="s">
        <v>77</v>
      </c>
      <c r="S258" t="s">
        <v>31</v>
      </c>
      <c r="T258" t="s">
        <v>32</v>
      </c>
    </row>
    <row r="259" spans="1:20" x14ac:dyDescent="0.2">
      <c r="A259">
        <v>40156</v>
      </c>
      <c r="B259" t="s">
        <v>61</v>
      </c>
      <c r="C259">
        <v>2007</v>
      </c>
      <c r="D259" t="s">
        <v>42</v>
      </c>
      <c r="E259">
        <v>116117</v>
      </c>
      <c r="F259">
        <v>116629</v>
      </c>
      <c r="G259" t="s">
        <v>185</v>
      </c>
      <c r="H259" t="s">
        <v>180</v>
      </c>
      <c r="I259" t="s">
        <v>181</v>
      </c>
      <c r="J259" t="s">
        <v>62</v>
      </c>
      <c r="K259" t="s">
        <v>26</v>
      </c>
      <c r="L259" t="s">
        <v>27</v>
      </c>
      <c r="M259" t="s">
        <v>29</v>
      </c>
      <c r="N259" t="s">
        <v>29</v>
      </c>
      <c r="O259" t="s">
        <v>29</v>
      </c>
      <c r="P259" t="s">
        <v>45</v>
      </c>
      <c r="R259" t="s">
        <v>77</v>
      </c>
      <c r="S259" t="s">
        <v>31</v>
      </c>
      <c r="T259" t="s">
        <v>32</v>
      </c>
    </row>
    <row r="260" spans="1:20" x14ac:dyDescent="0.2">
      <c r="A260">
        <v>40157</v>
      </c>
      <c r="B260" t="s">
        <v>61</v>
      </c>
      <c r="C260">
        <v>2007</v>
      </c>
      <c r="D260" t="s">
        <v>42</v>
      </c>
      <c r="E260">
        <v>139483</v>
      </c>
      <c r="F260">
        <v>139792</v>
      </c>
      <c r="G260" t="s">
        <v>185</v>
      </c>
      <c r="H260" t="s">
        <v>180</v>
      </c>
      <c r="I260" t="s">
        <v>181</v>
      </c>
      <c r="J260" t="s">
        <v>35</v>
      </c>
      <c r="K260" t="s">
        <v>26</v>
      </c>
      <c r="L260" t="s">
        <v>27</v>
      </c>
      <c r="M260" t="s">
        <v>44</v>
      </c>
      <c r="N260" t="s">
        <v>44</v>
      </c>
      <c r="O260" t="s">
        <v>44</v>
      </c>
      <c r="P260" t="s">
        <v>45</v>
      </c>
      <c r="R260" t="s">
        <v>30</v>
      </c>
      <c r="S260" t="s">
        <v>31</v>
      </c>
      <c r="T260" t="s">
        <v>32</v>
      </c>
    </row>
    <row r="261" spans="1:20" x14ac:dyDescent="0.2">
      <c r="A261">
        <v>40158</v>
      </c>
      <c r="B261" t="s">
        <v>61</v>
      </c>
      <c r="C261">
        <v>2007</v>
      </c>
      <c r="D261" t="s">
        <v>42</v>
      </c>
      <c r="E261">
        <v>2047370</v>
      </c>
      <c r="F261">
        <v>2047724</v>
      </c>
      <c r="G261" t="s">
        <v>185</v>
      </c>
      <c r="H261" t="s">
        <v>180</v>
      </c>
      <c r="I261" t="s">
        <v>181</v>
      </c>
      <c r="J261" t="s">
        <v>26</v>
      </c>
      <c r="K261" t="s">
        <v>51</v>
      </c>
      <c r="L261" t="s">
        <v>63</v>
      </c>
      <c r="M261" t="s">
        <v>36</v>
      </c>
      <c r="N261" t="s">
        <v>44</v>
      </c>
      <c r="O261" t="s">
        <v>44</v>
      </c>
      <c r="P261" t="s">
        <v>20</v>
      </c>
      <c r="R261" t="s">
        <v>77</v>
      </c>
      <c r="S261" t="s">
        <v>31</v>
      </c>
      <c r="T261" t="s">
        <v>32</v>
      </c>
    </row>
    <row r="262" spans="1:20" x14ac:dyDescent="0.2">
      <c r="A262">
        <v>40159</v>
      </c>
      <c r="B262" t="s">
        <v>61</v>
      </c>
      <c r="C262">
        <v>2007</v>
      </c>
      <c r="D262" t="s">
        <v>42</v>
      </c>
      <c r="E262">
        <v>303613</v>
      </c>
      <c r="F262">
        <v>304033</v>
      </c>
      <c r="G262" t="s">
        <v>185</v>
      </c>
      <c r="H262" t="s">
        <v>180</v>
      </c>
      <c r="I262" t="s">
        <v>181</v>
      </c>
      <c r="J262" t="s">
        <v>35</v>
      </c>
      <c r="K262" t="s">
        <v>26</v>
      </c>
      <c r="L262" t="s">
        <v>89</v>
      </c>
      <c r="M262" t="s">
        <v>44</v>
      </c>
      <c r="N262" t="s">
        <v>44</v>
      </c>
      <c r="O262" t="s">
        <v>44</v>
      </c>
      <c r="P262" t="s">
        <v>20</v>
      </c>
      <c r="R262" t="s">
        <v>46</v>
      </c>
      <c r="S262" t="s">
        <v>149</v>
      </c>
      <c r="T262" t="s">
        <v>32</v>
      </c>
    </row>
    <row r="263" spans="1:20" x14ac:dyDescent="0.2">
      <c r="A263">
        <v>40160</v>
      </c>
      <c r="B263" t="s">
        <v>61</v>
      </c>
      <c r="C263">
        <v>2007</v>
      </c>
      <c r="D263" t="s">
        <v>42</v>
      </c>
      <c r="E263">
        <v>348729</v>
      </c>
      <c r="F263">
        <v>349039</v>
      </c>
      <c r="G263" t="s">
        <v>185</v>
      </c>
      <c r="H263" t="s">
        <v>180</v>
      </c>
      <c r="I263" t="s">
        <v>181</v>
      </c>
      <c r="J263" t="s">
        <v>35</v>
      </c>
      <c r="K263" t="s">
        <v>26</v>
      </c>
      <c r="L263" t="s">
        <v>27</v>
      </c>
      <c r="M263" t="s">
        <v>44</v>
      </c>
      <c r="N263" t="s">
        <v>44</v>
      </c>
      <c r="O263" t="s">
        <v>44</v>
      </c>
      <c r="P263" t="s">
        <v>45</v>
      </c>
      <c r="R263" t="s">
        <v>77</v>
      </c>
      <c r="S263" t="s">
        <v>31</v>
      </c>
      <c r="T263" t="s">
        <v>32</v>
      </c>
    </row>
    <row r="264" spans="1:20" x14ac:dyDescent="0.2">
      <c r="A264">
        <v>40161</v>
      </c>
      <c r="B264" t="s">
        <v>61</v>
      </c>
      <c r="C264">
        <v>2007</v>
      </c>
      <c r="D264" t="s">
        <v>42</v>
      </c>
      <c r="E264">
        <v>371274</v>
      </c>
      <c r="F264">
        <v>372022</v>
      </c>
      <c r="G264" t="s">
        <v>185</v>
      </c>
      <c r="H264" t="s">
        <v>180</v>
      </c>
      <c r="I264" t="s">
        <v>181</v>
      </c>
      <c r="J264" t="s">
        <v>26</v>
      </c>
      <c r="K264" t="s">
        <v>26</v>
      </c>
      <c r="L264" t="s">
        <v>89</v>
      </c>
      <c r="M264" t="s">
        <v>44</v>
      </c>
      <c r="N264" t="s">
        <v>44</v>
      </c>
      <c r="O264" t="s">
        <v>44</v>
      </c>
      <c r="P264" t="s">
        <v>45</v>
      </c>
      <c r="R264" t="s">
        <v>30</v>
      </c>
      <c r="S264" t="s">
        <v>31</v>
      </c>
      <c r="T264" t="s">
        <v>32</v>
      </c>
    </row>
    <row r="265" spans="1:20" x14ac:dyDescent="0.2">
      <c r="A265">
        <v>40162</v>
      </c>
      <c r="B265" t="s">
        <v>61</v>
      </c>
      <c r="C265">
        <v>2007</v>
      </c>
      <c r="D265" t="s">
        <v>42</v>
      </c>
      <c r="E265">
        <v>687584</v>
      </c>
      <c r="F265">
        <v>687984</v>
      </c>
      <c r="G265" t="s">
        <v>185</v>
      </c>
      <c r="H265" t="s">
        <v>180</v>
      </c>
      <c r="I265" t="s">
        <v>181</v>
      </c>
      <c r="J265" t="s">
        <v>62</v>
      </c>
      <c r="K265" t="s">
        <v>26</v>
      </c>
      <c r="L265" t="s">
        <v>27</v>
      </c>
      <c r="M265" t="s">
        <v>29</v>
      </c>
      <c r="N265" t="s">
        <v>29</v>
      </c>
      <c r="O265" t="s">
        <v>29</v>
      </c>
      <c r="P265" t="s">
        <v>45</v>
      </c>
      <c r="R265" t="s">
        <v>77</v>
      </c>
      <c r="S265" t="s">
        <v>31</v>
      </c>
      <c r="T265" t="s">
        <v>32</v>
      </c>
    </row>
    <row r="266" spans="1:20" x14ac:dyDescent="0.2">
      <c r="A266">
        <v>40163</v>
      </c>
      <c r="B266" t="s">
        <v>61</v>
      </c>
      <c r="C266">
        <v>2007</v>
      </c>
      <c r="D266" t="s">
        <v>42</v>
      </c>
      <c r="E266">
        <v>1566020</v>
      </c>
      <c r="F266">
        <v>1566503</v>
      </c>
      <c r="G266" t="s">
        <v>185</v>
      </c>
      <c r="H266" t="s">
        <v>180</v>
      </c>
      <c r="I266" t="s">
        <v>181</v>
      </c>
      <c r="J266" t="s">
        <v>35</v>
      </c>
      <c r="K266" t="s">
        <v>26</v>
      </c>
      <c r="L266" t="s">
        <v>89</v>
      </c>
      <c r="M266" t="s">
        <v>44</v>
      </c>
      <c r="N266" t="s">
        <v>44</v>
      </c>
      <c r="O266" t="s">
        <v>44</v>
      </c>
      <c r="P266" t="s">
        <v>45</v>
      </c>
      <c r="R266" t="s">
        <v>77</v>
      </c>
      <c r="S266" t="s">
        <v>31</v>
      </c>
      <c r="T266" t="s">
        <v>32</v>
      </c>
    </row>
    <row r="267" spans="1:20" x14ac:dyDescent="0.2">
      <c r="A267">
        <v>40164</v>
      </c>
      <c r="B267" t="s">
        <v>61</v>
      </c>
      <c r="C267">
        <v>2007</v>
      </c>
      <c r="D267" t="s">
        <v>42</v>
      </c>
      <c r="E267">
        <v>1572586</v>
      </c>
      <c r="F267">
        <v>1573057</v>
      </c>
      <c r="G267" t="s">
        <v>185</v>
      </c>
      <c r="H267" t="s">
        <v>180</v>
      </c>
      <c r="I267" t="s">
        <v>181</v>
      </c>
      <c r="J267" t="s">
        <v>26</v>
      </c>
      <c r="K267" t="s">
        <v>26</v>
      </c>
      <c r="L267" t="s">
        <v>89</v>
      </c>
      <c r="M267" t="s">
        <v>44</v>
      </c>
      <c r="N267" t="s">
        <v>44</v>
      </c>
      <c r="O267" t="s">
        <v>44</v>
      </c>
      <c r="P267" t="s">
        <v>20</v>
      </c>
      <c r="R267" t="s">
        <v>30</v>
      </c>
      <c r="S267" t="s">
        <v>31</v>
      </c>
      <c r="T267" t="s">
        <v>32</v>
      </c>
    </row>
    <row r="268" spans="1:20" x14ac:dyDescent="0.2">
      <c r="A268">
        <v>40165</v>
      </c>
      <c r="B268" t="s">
        <v>118</v>
      </c>
      <c r="C268">
        <v>2009</v>
      </c>
      <c r="D268" t="s">
        <v>42</v>
      </c>
      <c r="E268">
        <v>205954</v>
      </c>
      <c r="F268">
        <v>206408</v>
      </c>
      <c r="G268" t="s">
        <v>185</v>
      </c>
      <c r="H268" t="s">
        <v>180</v>
      </c>
      <c r="I268" t="s">
        <v>181</v>
      </c>
      <c r="J268" t="s">
        <v>62</v>
      </c>
      <c r="K268" t="s">
        <v>62</v>
      </c>
      <c r="L268" t="s">
        <v>89</v>
      </c>
      <c r="M268" t="s">
        <v>44</v>
      </c>
      <c r="N268" t="s">
        <v>44</v>
      </c>
      <c r="O268" t="s">
        <v>44</v>
      </c>
      <c r="P268" t="s">
        <v>37</v>
      </c>
      <c r="Q268" t="s">
        <v>95</v>
      </c>
      <c r="R268" t="s">
        <v>46</v>
      </c>
      <c r="S268" t="s">
        <v>149</v>
      </c>
      <c r="T268" t="s">
        <v>32</v>
      </c>
    </row>
    <row r="269" spans="1:20" x14ac:dyDescent="0.2">
      <c r="A269">
        <v>40166</v>
      </c>
      <c r="B269" t="s">
        <v>118</v>
      </c>
      <c r="C269">
        <v>2009</v>
      </c>
      <c r="D269" t="s">
        <v>42</v>
      </c>
      <c r="E269">
        <v>2025045</v>
      </c>
      <c r="F269">
        <v>2025785</v>
      </c>
      <c r="G269" t="s">
        <v>185</v>
      </c>
      <c r="H269" t="s">
        <v>180</v>
      </c>
      <c r="I269" t="s">
        <v>181</v>
      </c>
      <c r="J269" t="s">
        <v>51</v>
      </c>
      <c r="K269" t="s">
        <v>51</v>
      </c>
      <c r="L269" t="s">
        <v>89</v>
      </c>
      <c r="M269" t="s">
        <v>44</v>
      </c>
      <c r="N269" t="s">
        <v>44</v>
      </c>
      <c r="O269" t="s">
        <v>44</v>
      </c>
      <c r="P269" t="s">
        <v>45</v>
      </c>
      <c r="R269" t="s">
        <v>46</v>
      </c>
      <c r="S269" t="s">
        <v>149</v>
      </c>
      <c r="T269" t="s">
        <v>32</v>
      </c>
    </row>
    <row r="270" spans="1:20" x14ac:dyDescent="0.2">
      <c r="A270">
        <v>40167</v>
      </c>
      <c r="B270" t="s">
        <v>118</v>
      </c>
      <c r="C270">
        <v>2009</v>
      </c>
      <c r="D270" t="s">
        <v>42</v>
      </c>
      <c r="E270">
        <v>2026332</v>
      </c>
      <c r="F270">
        <v>2026843</v>
      </c>
      <c r="G270" t="s">
        <v>185</v>
      </c>
      <c r="H270" t="s">
        <v>180</v>
      </c>
      <c r="I270" t="s">
        <v>181</v>
      </c>
      <c r="J270" t="s">
        <v>62</v>
      </c>
      <c r="K270" t="s">
        <v>51</v>
      </c>
      <c r="L270" t="s">
        <v>63</v>
      </c>
      <c r="M270" t="s">
        <v>44</v>
      </c>
      <c r="N270" t="s">
        <v>44</v>
      </c>
      <c r="O270" t="s">
        <v>44</v>
      </c>
      <c r="P270" t="s">
        <v>45</v>
      </c>
      <c r="R270" t="s">
        <v>77</v>
      </c>
      <c r="S270" t="s">
        <v>31</v>
      </c>
      <c r="T270" t="s">
        <v>32</v>
      </c>
    </row>
    <row r="271" spans="1:20" x14ac:dyDescent="0.2">
      <c r="A271">
        <v>40168</v>
      </c>
      <c r="B271" t="s">
        <v>118</v>
      </c>
      <c r="C271">
        <v>2009</v>
      </c>
      <c r="D271" t="s">
        <v>42</v>
      </c>
      <c r="E271">
        <v>3229450</v>
      </c>
      <c r="F271">
        <v>3229965</v>
      </c>
      <c r="G271" t="s">
        <v>185</v>
      </c>
      <c r="H271" t="s">
        <v>180</v>
      </c>
      <c r="I271" t="s">
        <v>181</v>
      </c>
      <c r="J271" t="s">
        <v>62</v>
      </c>
      <c r="K271" t="s">
        <v>51</v>
      </c>
      <c r="L271" t="s">
        <v>89</v>
      </c>
      <c r="M271" t="s">
        <v>44</v>
      </c>
      <c r="N271" t="s">
        <v>44</v>
      </c>
      <c r="O271" t="s">
        <v>44</v>
      </c>
      <c r="P271" t="s">
        <v>45</v>
      </c>
      <c r="R271" t="s">
        <v>77</v>
      </c>
      <c r="S271" t="s">
        <v>31</v>
      </c>
      <c r="T271" t="s">
        <v>32</v>
      </c>
    </row>
    <row r="272" spans="1:20" x14ac:dyDescent="0.2">
      <c r="A272">
        <v>40169</v>
      </c>
      <c r="B272" t="s">
        <v>118</v>
      </c>
      <c r="C272">
        <v>2009</v>
      </c>
      <c r="D272" t="s">
        <v>42</v>
      </c>
      <c r="E272">
        <v>551914</v>
      </c>
      <c r="F272">
        <v>552375</v>
      </c>
      <c r="G272" t="s">
        <v>185</v>
      </c>
      <c r="H272" t="s">
        <v>180</v>
      </c>
      <c r="I272" t="s">
        <v>181</v>
      </c>
      <c r="J272" t="s">
        <v>35</v>
      </c>
      <c r="K272" t="s">
        <v>26</v>
      </c>
      <c r="L272" t="s">
        <v>27</v>
      </c>
      <c r="M272" t="s">
        <v>44</v>
      </c>
      <c r="N272" t="s">
        <v>44</v>
      </c>
      <c r="O272" t="s">
        <v>44</v>
      </c>
      <c r="P272" t="s">
        <v>45</v>
      </c>
      <c r="R272" t="s">
        <v>30</v>
      </c>
      <c r="S272" t="s">
        <v>31</v>
      </c>
      <c r="T272" t="s">
        <v>32</v>
      </c>
    </row>
    <row r="273" spans="1:20" x14ac:dyDescent="0.2">
      <c r="A273">
        <v>40170</v>
      </c>
      <c r="B273" t="s">
        <v>118</v>
      </c>
      <c r="C273">
        <v>2009</v>
      </c>
      <c r="D273" t="s">
        <v>42</v>
      </c>
      <c r="E273">
        <v>877499</v>
      </c>
      <c r="F273">
        <v>877918</v>
      </c>
      <c r="G273" t="s">
        <v>185</v>
      </c>
      <c r="H273" t="s">
        <v>180</v>
      </c>
      <c r="I273" t="s">
        <v>181</v>
      </c>
      <c r="J273" t="s">
        <v>35</v>
      </c>
      <c r="K273" t="s">
        <v>69</v>
      </c>
      <c r="L273" t="s">
        <v>27</v>
      </c>
      <c r="M273" t="s">
        <v>44</v>
      </c>
      <c r="N273" t="s">
        <v>44</v>
      </c>
      <c r="O273" t="s">
        <v>44</v>
      </c>
      <c r="P273" t="s">
        <v>45</v>
      </c>
      <c r="R273" t="s">
        <v>30</v>
      </c>
      <c r="S273" t="s">
        <v>31</v>
      </c>
      <c r="T273" t="s">
        <v>32</v>
      </c>
    </row>
    <row r="274" spans="1:20" x14ac:dyDescent="0.2">
      <c r="A274">
        <v>40171</v>
      </c>
      <c r="B274" t="s">
        <v>118</v>
      </c>
      <c r="C274">
        <v>2009</v>
      </c>
      <c r="D274" t="s">
        <v>42</v>
      </c>
      <c r="E274">
        <v>1238736</v>
      </c>
      <c r="F274">
        <v>1239067</v>
      </c>
      <c r="G274" t="s">
        <v>185</v>
      </c>
      <c r="H274" t="s">
        <v>180</v>
      </c>
      <c r="I274" t="s">
        <v>181</v>
      </c>
      <c r="J274" t="s">
        <v>26</v>
      </c>
      <c r="K274" t="s">
        <v>26</v>
      </c>
      <c r="L274" t="s">
        <v>27</v>
      </c>
      <c r="M274" t="s">
        <v>44</v>
      </c>
      <c r="N274" t="s">
        <v>44</v>
      </c>
      <c r="O274" t="s">
        <v>44</v>
      </c>
      <c r="P274" t="s">
        <v>20</v>
      </c>
      <c r="R274" t="s">
        <v>30</v>
      </c>
      <c r="S274" t="s">
        <v>31</v>
      </c>
      <c r="T274" t="s">
        <v>32</v>
      </c>
    </row>
    <row r="275" spans="1:20" x14ac:dyDescent="0.2">
      <c r="A275">
        <v>40172</v>
      </c>
      <c r="B275" t="s">
        <v>118</v>
      </c>
      <c r="C275">
        <v>2009</v>
      </c>
      <c r="D275" t="s">
        <v>42</v>
      </c>
      <c r="E275">
        <v>2931688</v>
      </c>
      <c r="F275">
        <v>2932249</v>
      </c>
      <c r="G275" t="s">
        <v>185</v>
      </c>
      <c r="H275" t="s">
        <v>180</v>
      </c>
      <c r="I275" t="s">
        <v>181</v>
      </c>
      <c r="J275" t="s">
        <v>69</v>
      </c>
      <c r="K275" t="s">
        <v>69</v>
      </c>
      <c r="L275" t="s">
        <v>27</v>
      </c>
      <c r="M275" t="s">
        <v>44</v>
      </c>
      <c r="N275" t="s">
        <v>44</v>
      </c>
      <c r="O275" t="s">
        <v>44</v>
      </c>
      <c r="P275" t="s">
        <v>20</v>
      </c>
      <c r="R275" t="s">
        <v>77</v>
      </c>
      <c r="S275" t="s">
        <v>31</v>
      </c>
      <c r="T275" t="s">
        <v>32</v>
      </c>
    </row>
    <row r="276" spans="1:20" x14ac:dyDescent="0.2">
      <c r="A276">
        <v>40173</v>
      </c>
      <c r="B276" t="s">
        <v>118</v>
      </c>
      <c r="C276">
        <v>2009</v>
      </c>
      <c r="D276" t="s">
        <v>42</v>
      </c>
      <c r="E276">
        <v>1360050</v>
      </c>
      <c r="F276">
        <v>1360531</v>
      </c>
      <c r="G276" t="s">
        <v>185</v>
      </c>
      <c r="H276" t="s">
        <v>180</v>
      </c>
      <c r="I276" t="s">
        <v>181</v>
      </c>
      <c r="J276" t="s">
        <v>26</v>
      </c>
      <c r="K276" t="s">
        <v>26</v>
      </c>
      <c r="L276" t="s">
        <v>89</v>
      </c>
      <c r="M276" t="s">
        <v>44</v>
      </c>
      <c r="N276" t="s">
        <v>44</v>
      </c>
      <c r="O276" t="s">
        <v>44</v>
      </c>
      <c r="P276" t="s">
        <v>20</v>
      </c>
      <c r="R276" t="s">
        <v>30</v>
      </c>
      <c r="S276" t="s">
        <v>31</v>
      </c>
      <c r="T276" t="s">
        <v>32</v>
      </c>
    </row>
    <row r="277" spans="1:20" x14ac:dyDescent="0.2">
      <c r="A277">
        <v>40174</v>
      </c>
      <c r="B277" t="s">
        <v>118</v>
      </c>
      <c r="C277">
        <v>2009</v>
      </c>
      <c r="D277" t="s">
        <v>42</v>
      </c>
      <c r="E277">
        <v>2169666</v>
      </c>
      <c r="F277">
        <v>2169966</v>
      </c>
      <c r="G277" t="s">
        <v>185</v>
      </c>
      <c r="H277" t="s">
        <v>180</v>
      </c>
      <c r="I277" t="s">
        <v>181</v>
      </c>
      <c r="J277" t="s">
        <v>35</v>
      </c>
      <c r="K277" t="s">
        <v>51</v>
      </c>
      <c r="L277" t="s">
        <v>89</v>
      </c>
      <c r="M277" t="s">
        <v>44</v>
      </c>
      <c r="N277" t="s">
        <v>44</v>
      </c>
      <c r="O277" t="s">
        <v>44</v>
      </c>
      <c r="P277" t="s">
        <v>45</v>
      </c>
      <c r="R277" t="s">
        <v>46</v>
      </c>
      <c r="S277" t="s">
        <v>149</v>
      </c>
      <c r="T277" t="s">
        <v>32</v>
      </c>
    </row>
    <row r="278" spans="1:20" x14ac:dyDescent="0.2">
      <c r="A278">
        <v>40175</v>
      </c>
      <c r="B278" t="s">
        <v>118</v>
      </c>
      <c r="C278">
        <v>2009</v>
      </c>
      <c r="D278" t="s">
        <v>42</v>
      </c>
      <c r="E278">
        <v>3434472</v>
      </c>
      <c r="F278">
        <v>3434889</v>
      </c>
      <c r="G278" t="s">
        <v>185</v>
      </c>
      <c r="H278" t="s">
        <v>180</v>
      </c>
      <c r="I278" t="s">
        <v>181</v>
      </c>
      <c r="J278" t="s">
        <v>26</v>
      </c>
      <c r="K278" t="s">
        <v>26</v>
      </c>
      <c r="L278" t="s">
        <v>27</v>
      </c>
      <c r="M278" t="s">
        <v>44</v>
      </c>
      <c r="N278" t="s">
        <v>44</v>
      </c>
      <c r="O278" t="s">
        <v>44</v>
      </c>
      <c r="P278" t="s">
        <v>37</v>
      </c>
      <c r="Q278" t="s">
        <v>95</v>
      </c>
      <c r="R278" t="s">
        <v>30</v>
      </c>
      <c r="S278" t="s">
        <v>31</v>
      </c>
      <c r="T278" t="s">
        <v>80</v>
      </c>
    </row>
    <row r="279" spans="1:20" x14ac:dyDescent="0.2">
      <c r="A279">
        <v>40176</v>
      </c>
      <c r="B279" t="s">
        <v>118</v>
      </c>
      <c r="C279">
        <v>2009</v>
      </c>
      <c r="D279" t="s">
        <v>42</v>
      </c>
      <c r="E279">
        <v>2420598</v>
      </c>
      <c r="F279">
        <v>2421098</v>
      </c>
      <c r="G279" t="s">
        <v>185</v>
      </c>
      <c r="H279" t="s">
        <v>180</v>
      </c>
      <c r="I279" t="s">
        <v>181</v>
      </c>
      <c r="J279" t="s">
        <v>26</v>
      </c>
      <c r="K279" t="s">
        <v>62</v>
      </c>
      <c r="L279" t="s">
        <v>89</v>
      </c>
      <c r="M279" t="s">
        <v>44</v>
      </c>
      <c r="N279" t="s">
        <v>44</v>
      </c>
      <c r="O279" t="s">
        <v>44</v>
      </c>
      <c r="P279" t="s">
        <v>45</v>
      </c>
      <c r="R279" t="s">
        <v>30</v>
      </c>
      <c r="S279" t="s">
        <v>31</v>
      </c>
      <c r="T279" t="s">
        <v>32</v>
      </c>
    </row>
    <row r="280" spans="1:20" x14ac:dyDescent="0.2">
      <c r="A280">
        <v>40177</v>
      </c>
      <c r="B280" t="s">
        <v>118</v>
      </c>
      <c r="C280">
        <v>2009</v>
      </c>
      <c r="D280" t="s">
        <v>42</v>
      </c>
      <c r="E280">
        <v>2476746</v>
      </c>
      <c r="F280">
        <v>2477079</v>
      </c>
      <c r="G280" t="s">
        <v>185</v>
      </c>
      <c r="H280" t="s">
        <v>180</v>
      </c>
      <c r="I280" t="s">
        <v>181</v>
      </c>
      <c r="J280" t="s">
        <v>26</v>
      </c>
      <c r="K280" t="s">
        <v>69</v>
      </c>
      <c r="L280" t="s">
        <v>27</v>
      </c>
      <c r="M280" t="s">
        <v>44</v>
      </c>
      <c r="N280" t="s">
        <v>44</v>
      </c>
      <c r="O280" t="s">
        <v>44</v>
      </c>
      <c r="P280" t="s">
        <v>45</v>
      </c>
      <c r="R280" t="s">
        <v>30</v>
      </c>
      <c r="S280" t="s">
        <v>31</v>
      </c>
      <c r="T280" t="s">
        <v>32</v>
      </c>
    </row>
    <row r="281" spans="1:20" x14ac:dyDescent="0.2">
      <c r="A281">
        <v>40178</v>
      </c>
      <c r="B281" t="s">
        <v>118</v>
      </c>
      <c r="C281">
        <v>2009</v>
      </c>
      <c r="D281" t="s">
        <v>42</v>
      </c>
      <c r="E281">
        <v>2604735</v>
      </c>
      <c r="F281">
        <v>2605381</v>
      </c>
      <c r="G281" t="s">
        <v>185</v>
      </c>
      <c r="H281" t="s">
        <v>180</v>
      </c>
      <c r="I281" t="s">
        <v>181</v>
      </c>
      <c r="J281" t="s">
        <v>35</v>
      </c>
      <c r="K281" t="s">
        <v>26</v>
      </c>
      <c r="L281" t="s">
        <v>27</v>
      </c>
      <c r="M281" t="s">
        <v>44</v>
      </c>
      <c r="N281" t="s">
        <v>44</v>
      </c>
      <c r="O281" t="s">
        <v>44</v>
      </c>
      <c r="P281" t="s">
        <v>45</v>
      </c>
      <c r="R281" t="s">
        <v>30</v>
      </c>
      <c r="S281" t="s">
        <v>31</v>
      </c>
      <c r="T281" t="s">
        <v>32</v>
      </c>
    </row>
    <row r="282" spans="1:20" x14ac:dyDescent="0.2">
      <c r="A282">
        <v>40179</v>
      </c>
      <c r="B282" t="s">
        <v>41</v>
      </c>
      <c r="C282">
        <v>2007</v>
      </c>
      <c r="D282" t="s">
        <v>42</v>
      </c>
      <c r="E282">
        <v>359682</v>
      </c>
      <c r="F282">
        <v>360132</v>
      </c>
      <c r="G282" t="s">
        <v>185</v>
      </c>
      <c r="H282" t="s">
        <v>180</v>
      </c>
      <c r="I282" t="s">
        <v>181</v>
      </c>
      <c r="J282" t="s">
        <v>26</v>
      </c>
      <c r="K282" t="s">
        <v>26</v>
      </c>
      <c r="L282" t="s">
        <v>27</v>
      </c>
      <c r="M282" t="s">
        <v>44</v>
      </c>
      <c r="N282" t="s">
        <v>29</v>
      </c>
      <c r="O282" t="s">
        <v>29</v>
      </c>
      <c r="P282" t="s">
        <v>45</v>
      </c>
      <c r="R282" t="s">
        <v>46</v>
      </c>
      <c r="S282" t="s">
        <v>31</v>
      </c>
      <c r="T282" t="s">
        <v>32</v>
      </c>
    </row>
    <row r="283" spans="1:20" x14ac:dyDescent="0.2">
      <c r="A283">
        <v>40180</v>
      </c>
      <c r="B283" t="s">
        <v>41</v>
      </c>
      <c r="C283">
        <v>2007</v>
      </c>
      <c r="D283" t="s">
        <v>42</v>
      </c>
      <c r="E283">
        <v>1979151</v>
      </c>
      <c r="F283">
        <v>1979522</v>
      </c>
      <c r="G283" t="s">
        <v>185</v>
      </c>
      <c r="H283" t="s">
        <v>180</v>
      </c>
      <c r="I283" t="s">
        <v>181</v>
      </c>
      <c r="J283" t="s">
        <v>26</v>
      </c>
      <c r="K283" t="s">
        <v>69</v>
      </c>
      <c r="L283" t="s">
        <v>27</v>
      </c>
      <c r="M283" t="s">
        <v>177</v>
      </c>
      <c r="N283" t="s">
        <v>44</v>
      </c>
      <c r="O283" t="s">
        <v>44</v>
      </c>
      <c r="P283" t="s">
        <v>45</v>
      </c>
      <c r="R283" t="s">
        <v>77</v>
      </c>
      <c r="S283" t="s">
        <v>31</v>
      </c>
      <c r="T283" t="s">
        <v>32</v>
      </c>
    </row>
    <row r="284" spans="1:20" x14ac:dyDescent="0.2">
      <c r="A284">
        <v>40181</v>
      </c>
      <c r="B284" t="s">
        <v>41</v>
      </c>
      <c r="C284">
        <v>2007</v>
      </c>
      <c r="D284" t="s">
        <v>42</v>
      </c>
      <c r="E284">
        <v>2297658</v>
      </c>
      <c r="F284">
        <v>2298042</v>
      </c>
      <c r="G284" t="s">
        <v>185</v>
      </c>
      <c r="H284" t="s">
        <v>180</v>
      </c>
      <c r="I284" t="s">
        <v>181</v>
      </c>
      <c r="J284" t="s">
        <v>35</v>
      </c>
      <c r="K284" t="s">
        <v>51</v>
      </c>
      <c r="L284" t="s">
        <v>63</v>
      </c>
      <c r="M284" t="s">
        <v>44</v>
      </c>
      <c r="N284" t="s">
        <v>44</v>
      </c>
      <c r="O284" t="s">
        <v>29</v>
      </c>
      <c r="P284" t="s">
        <v>37</v>
      </c>
      <c r="Q284" t="s">
        <v>188</v>
      </c>
      <c r="R284" t="s">
        <v>30</v>
      </c>
      <c r="S284" t="s">
        <v>31</v>
      </c>
      <c r="T284" t="s">
        <v>32</v>
      </c>
    </row>
    <row r="285" spans="1:20" x14ac:dyDescent="0.2">
      <c r="A285">
        <v>40182</v>
      </c>
      <c r="B285" t="s">
        <v>41</v>
      </c>
      <c r="C285">
        <v>2007</v>
      </c>
      <c r="D285" t="s">
        <v>42</v>
      </c>
      <c r="E285">
        <v>1574361</v>
      </c>
      <c r="F285">
        <v>1574649</v>
      </c>
      <c r="G285" t="s">
        <v>185</v>
      </c>
      <c r="H285" t="s">
        <v>180</v>
      </c>
      <c r="I285" t="s">
        <v>181</v>
      </c>
      <c r="J285" t="s">
        <v>26</v>
      </c>
      <c r="K285" t="s">
        <v>69</v>
      </c>
      <c r="L285" t="s">
        <v>27</v>
      </c>
      <c r="M285" t="s">
        <v>44</v>
      </c>
      <c r="N285" t="s">
        <v>44</v>
      </c>
      <c r="O285" t="s">
        <v>44</v>
      </c>
      <c r="P285" t="s">
        <v>45</v>
      </c>
      <c r="R285" t="s">
        <v>30</v>
      </c>
      <c r="S285" t="s">
        <v>31</v>
      </c>
      <c r="T285" t="s">
        <v>32</v>
      </c>
    </row>
    <row r="286" spans="1:20" x14ac:dyDescent="0.2">
      <c r="A286">
        <v>40183</v>
      </c>
      <c r="B286" t="s">
        <v>47</v>
      </c>
      <c r="C286">
        <v>2013</v>
      </c>
      <c r="D286" t="s">
        <v>42</v>
      </c>
      <c r="E286">
        <v>2316023</v>
      </c>
      <c r="F286">
        <v>2316637</v>
      </c>
      <c r="G286" t="s">
        <v>185</v>
      </c>
      <c r="H286" t="s">
        <v>180</v>
      </c>
      <c r="I286" t="s">
        <v>181</v>
      </c>
      <c r="J286" t="s">
        <v>69</v>
      </c>
      <c r="K286" t="s">
        <v>26</v>
      </c>
      <c r="L286" t="s">
        <v>27</v>
      </c>
      <c r="M286" t="s">
        <v>44</v>
      </c>
      <c r="N286" t="s">
        <v>44</v>
      </c>
      <c r="O286" t="s">
        <v>44</v>
      </c>
      <c r="P286" t="s">
        <v>45</v>
      </c>
      <c r="R286" t="s">
        <v>46</v>
      </c>
      <c r="S286" t="s">
        <v>31</v>
      </c>
      <c r="T286" t="s">
        <v>32</v>
      </c>
    </row>
    <row r="287" spans="1:20" x14ac:dyDescent="0.2">
      <c r="A287">
        <v>40184</v>
      </c>
      <c r="B287" t="s">
        <v>47</v>
      </c>
      <c r="C287">
        <v>2013</v>
      </c>
      <c r="D287" t="s">
        <v>42</v>
      </c>
      <c r="E287">
        <v>2900108</v>
      </c>
      <c r="F287">
        <v>2900628</v>
      </c>
      <c r="G287" t="s">
        <v>185</v>
      </c>
      <c r="H287" t="s">
        <v>180</v>
      </c>
      <c r="I287" t="s">
        <v>181</v>
      </c>
      <c r="J287" t="s">
        <v>26</v>
      </c>
      <c r="K287" t="s">
        <v>26</v>
      </c>
      <c r="L287" t="s">
        <v>27</v>
      </c>
      <c r="M287" t="s">
        <v>29</v>
      </c>
      <c r="N287" t="s">
        <v>29</v>
      </c>
      <c r="O287" t="s">
        <v>29</v>
      </c>
      <c r="P287" t="s">
        <v>20</v>
      </c>
      <c r="R287" t="s">
        <v>30</v>
      </c>
      <c r="S287" t="s">
        <v>31</v>
      </c>
      <c r="T287" t="s">
        <v>32</v>
      </c>
    </row>
    <row r="288" spans="1:20" x14ac:dyDescent="0.2">
      <c r="A288">
        <v>40185</v>
      </c>
      <c r="B288" t="s">
        <v>67</v>
      </c>
      <c r="C288">
        <v>2007</v>
      </c>
      <c r="D288" t="s">
        <v>42</v>
      </c>
      <c r="E288">
        <v>167415</v>
      </c>
      <c r="F288">
        <v>167925</v>
      </c>
      <c r="G288" t="s">
        <v>185</v>
      </c>
      <c r="H288" t="s">
        <v>180</v>
      </c>
      <c r="I288" t="s">
        <v>181</v>
      </c>
      <c r="J288" t="s">
        <v>51</v>
      </c>
      <c r="K288" t="s">
        <v>51</v>
      </c>
      <c r="L288" t="s">
        <v>63</v>
      </c>
      <c r="M288" t="s">
        <v>44</v>
      </c>
      <c r="N288" t="s">
        <v>44</v>
      </c>
      <c r="O288" t="s">
        <v>29</v>
      </c>
      <c r="P288" t="s">
        <v>45</v>
      </c>
      <c r="R288" t="s">
        <v>46</v>
      </c>
      <c r="S288" t="s">
        <v>31</v>
      </c>
      <c r="T288" t="s">
        <v>32</v>
      </c>
    </row>
    <row r="289" spans="1:20" x14ac:dyDescent="0.2">
      <c r="A289">
        <v>40186</v>
      </c>
      <c r="B289" t="s">
        <v>67</v>
      </c>
      <c r="C289">
        <v>2007</v>
      </c>
      <c r="D289" t="s">
        <v>42</v>
      </c>
      <c r="E289">
        <v>309064</v>
      </c>
      <c r="F289">
        <v>309415</v>
      </c>
      <c r="G289" t="s">
        <v>185</v>
      </c>
      <c r="H289" t="s">
        <v>180</v>
      </c>
      <c r="I289" t="s">
        <v>181</v>
      </c>
      <c r="J289" t="s">
        <v>26</v>
      </c>
      <c r="K289" t="s">
        <v>26</v>
      </c>
      <c r="L289" t="s">
        <v>27</v>
      </c>
      <c r="M289" t="s">
        <v>44</v>
      </c>
      <c r="N289" t="s">
        <v>44</v>
      </c>
      <c r="O289" t="s">
        <v>44</v>
      </c>
      <c r="P289" t="s">
        <v>45</v>
      </c>
      <c r="R289" t="s">
        <v>30</v>
      </c>
      <c r="S289" t="s">
        <v>31</v>
      </c>
      <c r="T289" t="s">
        <v>32</v>
      </c>
    </row>
    <row r="290" spans="1:20" x14ac:dyDescent="0.2">
      <c r="A290">
        <v>40187</v>
      </c>
      <c r="B290" t="s">
        <v>67</v>
      </c>
      <c r="C290">
        <v>2007</v>
      </c>
      <c r="D290" t="s">
        <v>42</v>
      </c>
      <c r="E290">
        <v>400333</v>
      </c>
      <c r="F290">
        <v>400754</v>
      </c>
      <c r="G290" t="s">
        <v>185</v>
      </c>
      <c r="H290" t="s">
        <v>180</v>
      </c>
      <c r="I290" t="s">
        <v>181</v>
      </c>
      <c r="J290" t="s">
        <v>35</v>
      </c>
      <c r="K290" t="s">
        <v>26</v>
      </c>
      <c r="L290" t="s">
        <v>89</v>
      </c>
      <c r="M290" t="s">
        <v>44</v>
      </c>
      <c r="N290" t="s">
        <v>44</v>
      </c>
      <c r="O290" t="s">
        <v>44</v>
      </c>
      <c r="P290" t="s">
        <v>45</v>
      </c>
      <c r="R290" t="s">
        <v>77</v>
      </c>
      <c r="S290" t="s">
        <v>31</v>
      </c>
      <c r="T290" t="s">
        <v>32</v>
      </c>
    </row>
    <row r="291" spans="1:20" x14ac:dyDescent="0.2">
      <c r="A291">
        <v>40188</v>
      </c>
      <c r="B291" t="s">
        <v>67</v>
      </c>
      <c r="C291">
        <v>2007</v>
      </c>
      <c r="D291" t="s">
        <v>42</v>
      </c>
      <c r="E291">
        <v>631362</v>
      </c>
      <c r="F291">
        <v>631735</v>
      </c>
      <c r="G291" t="s">
        <v>185</v>
      </c>
      <c r="H291" t="s">
        <v>180</v>
      </c>
      <c r="I291" t="s">
        <v>181</v>
      </c>
      <c r="J291" t="s">
        <v>62</v>
      </c>
      <c r="K291" t="s">
        <v>62</v>
      </c>
      <c r="L291" t="s">
        <v>27</v>
      </c>
      <c r="M291" t="s">
        <v>44</v>
      </c>
      <c r="N291" t="s">
        <v>44</v>
      </c>
      <c r="O291" t="s">
        <v>44</v>
      </c>
      <c r="P291" t="s">
        <v>45</v>
      </c>
      <c r="R291" t="s">
        <v>77</v>
      </c>
      <c r="S291" t="s">
        <v>31</v>
      </c>
      <c r="T291" t="s">
        <v>32</v>
      </c>
    </row>
    <row r="292" spans="1:20" x14ac:dyDescent="0.2">
      <c r="A292">
        <v>40189</v>
      </c>
      <c r="B292" t="s">
        <v>67</v>
      </c>
      <c r="C292">
        <v>2007</v>
      </c>
      <c r="D292" t="s">
        <v>42</v>
      </c>
      <c r="E292">
        <v>3005152</v>
      </c>
      <c r="F292">
        <v>3005649</v>
      </c>
      <c r="G292" t="s">
        <v>185</v>
      </c>
      <c r="H292" t="s">
        <v>180</v>
      </c>
      <c r="I292" t="s">
        <v>181</v>
      </c>
      <c r="J292" t="s">
        <v>26</v>
      </c>
      <c r="K292" t="s">
        <v>26</v>
      </c>
      <c r="L292" t="s">
        <v>27</v>
      </c>
      <c r="M292" t="s">
        <v>44</v>
      </c>
      <c r="N292" t="s">
        <v>44</v>
      </c>
      <c r="O292" t="s">
        <v>44</v>
      </c>
      <c r="P292" t="s">
        <v>45</v>
      </c>
      <c r="R292" t="s">
        <v>46</v>
      </c>
      <c r="S292" t="s">
        <v>31</v>
      </c>
      <c r="T292" t="s">
        <v>32</v>
      </c>
    </row>
    <row r="293" spans="1:20" x14ac:dyDescent="0.2">
      <c r="A293">
        <v>40190</v>
      </c>
      <c r="B293" t="s">
        <v>81</v>
      </c>
      <c r="C293">
        <v>2017</v>
      </c>
      <c r="D293" t="s">
        <v>50</v>
      </c>
      <c r="E293">
        <v>2678544</v>
      </c>
      <c r="F293">
        <v>2679320</v>
      </c>
      <c r="G293" t="s">
        <v>185</v>
      </c>
      <c r="H293" t="s">
        <v>180</v>
      </c>
      <c r="I293" t="s">
        <v>181</v>
      </c>
      <c r="J293" t="s">
        <v>35</v>
      </c>
      <c r="K293" t="s">
        <v>51</v>
      </c>
      <c r="L293" t="s">
        <v>89</v>
      </c>
      <c r="M293" t="s">
        <v>29</v>
      </c>
      <c r="N293" t="s">
        <v>29</v>
      </c>
      <c r="O293" t="s">
        <v>29</v>
      </c>
      <c r="P293" t="s">
        <v>37</v>
      </c>
      <c r="Q293" t="s">
        <v>170</v>
      </c>
      <c r="R293" t="s">
        <v>46</v>
      </c>
      <c r="S293" t="s">
        <v>149</v>
      </c>
      <c r="T293" t="s">
        <v>32</v>
      </c>
    </row>
    <row r="294" spans="1:20" x14ac:dyDescent="0.2">
      <c r="A294">
        <v>40191</v>
      </c>
      <c r="B294" t="s">
        <v>49</v>
      </c>
      <c r="C294">
        <v>2017</v>
      </c>
      <c r="D294" t="s">
        <v>50</v>
      </c>
      <c r="E294">
        <v>166620</v>
      </c>
      <c r="F294">
        <v>167144</v>
      </c>
      <c r="G294" t="s">
        <v>185</v>
      </c>
      <c r="H294" t="s">
        <v>180</v>
      </c>
      <c r="I294" t="s">
        <v>181</v>
      </c>
      <c r="J294" t="s">
        <v>62</v>
      </c>
      <c r="K294" t="s">
        <v>62</v>
      </c>
      <c r="L294" t="s">
        <v>27</v>
      </c>
      <c r="M294" t="s">
        <v>36</v>
      </c>
      <c r="N294" t="s">
        <v>29</v>
      </c>
      <c r="O294" t="s">
        <v>29</v>
      </c>
      <c r="P294" t="s">
        <v>20</v>
      </c>
      <c r="R294" t="s">
        <v>30</v>
      </c>
      <c r="S294" t="s">
        <v>31</v>
      </c>
      <c r="T294" t="s">
        <v>32</v>
      </c>
    </row>
    <row r="295" spans="1:20" x14ac:dyDescent="0.2">
      <c r="A295">
        <v>40192</v>
      </c>
      <c r="B295" t="s">
        <v>49</v>
      </c>
      <c r="C295">
        <v>2017</v>
      </c>
      <c r="D295" t="s">
        <v>50</v>
      </c>
      <c r="E295">
        <v>185529</v>
      </c>
      <c r="F295">
        <v>186156</v>
      </c>
      <c r="G295" t="s">
        <v>185</v>
      </c>
      <c r="H295" t="s">
        <v>180</v>
      </c>
      <c r="I295" t="s">
        <v>181</v>
      </c>
      <c r="J295" t="s">
        <v>69</v>
      </c>
      <c r="K295" t="s">
        <v>69</v>
      </c>
      <c r="L295" t="s">
        <v>63</v>
      </c>
      <c r="M295" t="s">
        <v>29</v>
      </c>
      <c r="N295" t="s">
        <v>29</v>
      </c>
      <c r="O295" t="s">
        <v>36</v>
      </c>
      <c r="P295" t="s">
        <v>20</v>
      </c>
      <c r="R295" t="s">
        <v>46</v>
      </c>
      <c r="S295" t="s">
        <v>31</v>
      </c>
      <c r="T295" t="s">
        <v>32</v>
      </c>
    </row>
    <row r="296" spans="1:20" x14ac:dyDescent="0.2">
      <c r="A296">
        <v>40193</v>
      </c>
      <c r="B296" t="s">
        <v>49</v>
      </c>
      <c r="C296">
        <v>2017</v>
      </c>
      <c r="D296" t="s">
        <v>50</v>
      </c>
      <c r="E296">
        <v>509850</v>
      </c>
      <c r="F296">
        <v>510276</v>
      </c>
      <c r="G296" t="s">
        <v>185</v>
      </c>
      <c r="H296" t="s">
        <v>180</v>
      </c>
      <c r="I296" t="s">
        <v>181</v>
      </c>
      <c r="J296" t="s">
        <v>51</v>
      </c>
      <c r="K296" t="s">
        <v>51</v>
      </c>
      <c r="L296" t="s">
        <v>89</v>
      </c>
      <c r="M296" t="s">
        <v>36</v>
      </c>
      <c r="N296" t="s">
        <v>36</v>
      </c>
      <c r="O296" t="s">
        <v>53</v>
      </c>
      <c r="P296" t="s">
        <v>20</v>
      </c>
      <c r="R296" t="s">
        <v>46</v>
      </c>
      <c r="S296" t="s">
        <v>149</v>
      </c>
      <c r="T296" t="s">
        <v>32</v>
      </c>
    </row>
    <row r="297" spans="1:20" x14ac:dyDescent="0.2">
      <c r="A297">
        <v>40194</v>
      </c>
      <c r="B297" t="s">
        <v>49</v>
      </c>
      <c r="C297">
        <v>2017</v>
      </c>
      <c r="D297" t="s">
        <v>50</v>
      </c>
      <c r="E297">
        <v>1906876</v>
      </c>
      <c r="F297">
        <v>1907325</v>
      </c>
      <c r="G297" t="s">
        <v>185</v>
      </c>
      <c r="H297" t="s">
        <v>180</v>
      </c>
      <c r="I297" t="s">
        <v>181</v>
      </c>
      <c r="J297" t="s">
        <v>35</v>
      </c>
      <c r="K297" t="s">
        <v>51</v>
      </c>
      <c r="L297" t="s">
        <v>89</v>
      </c>
      <c r="M297" t="s">
        <v>29</v>
      </c>
      <c r="N297" t="s">
        <v>29</v>
      </c>
      <c r="O297" t="s">
        <v>29</v>
      </c>
      <c r="P297" t="s">
        <v>20</v>
      </c>
      <c r="R297" t="s">
        <v>46</v>
      </c>
      <c r="S297" t="s">
        <v>149</v>
      </c>
      <c r="T297" t="s">
        <v>32</v>
      </c>
    </row>
    <row r="298" spans="1:20" x14ac:dyDescent="0.2">
      <c r="A298">
        <v>40195</v>
      </c>
      <c r="B298" t="s">
        <v>49</v>
      </c>
      <c r="C298">
        <v>2017</v>
      </c>
      <c r="D298" t="s">
        <v>50</v>
      </c>
      <c r="E298">
        <v>1578484</v>
      </c>
      <c r="F298">
        <v>1579009</v>
      </c>
      <c r="G298" t="s">
        <v>185</v>
      </c>
      <c r="H298" t="s">
        <v>180</v>
      </c>
      <c r="I298" t="s">
        <v>181</v>
      </c>
      <c r="J298" t="s">
        <v>26</v>
      </c>
      <c r="K298" t="s">
        <v>51</v>
      </c>
      <c r="L298" t="s">
        <v>63</v>
      </c>
      <c r="M298" t="s">
        <v>53</v>
      </c>
      <c r="N298" t="s">
        <v>29</v>
      </c>
      <c r="O298" t="s">
        <v>29</v>
      </c>
      <c r="P298" t="s">
        <v>37</v>
      </c>
      <c r="Q298" t="s">
        <v>205</v>
      </c>
      <c r="R298" t="s">
        <v>30</v>
      </c>
      <c r="S298" t="s">
        <v>31</v>
      </c>
      <c r="T298" t="s">
        <v>32</v>
      </c>
    </row>
    <row r="299" spans="1:20" x14ac:dyDescent="0.2">
      <c r="A299">
        <v>40196</v>
      </c>
      <c r="B299" t="s">
        <v>49</v>
      </c>
      <c r="C299">
        <v>2017</v>
      </c>
      <c r="D299" t="s">
        <v>50</v>
      </c>
      <c r="E299">
        <v>1663543</v>
      </c>
      <c r="F299">
        <v>1663921</v>
      </c>
      <c r="G299" t="s">
        <v>185</v>
      </c>
      <c r="H299" t="s">
        <v>180</v>
      </c>
      <c r="I299" t="s">
        <v>181</v>
      </c>
      <c r="J299" t="s">
        <v>68</v>
      </c>
      <c r="K299" t="s">
        <v>51</v>
      </c>
      <c r="L299" t="s">
        <v>89</v>
      </c>
      <c r="M299" t="s">
        <v>36</v>
      </c>
      <c r="N299" t="s">
        <v>29</v>
      </c>
      <c r="O299" t="s">
        <v>29</v>
      </c>
      <c r="P299" t="s">
        <v>20</v>
      </c>
      <c r="R299" t="s">
        <v>46</v>
      </c>
      <c r="S299" t="s">
        <v>149</v>
      </c>
      <c r="T299" t="s">
        <v>32</v>
      </c>
    </row>
    <row r="300" spans="1:20" x14ac:dyDescent="0.2">
      <c r="A300">
        <v>40197</v>
      </c>
      <c r="B300" t="s">
        <v>49</v>
      </c>
      <c r="C300">
        <v>2017</v>
      </c>
      <c r="D300" t="s">
        <v>50</v>
      </c>
      <c r="E300">
        <v>2541970</v>
      </c>
      <c r="F300">
        <v>2542508</v>
      </c>
      <c r="G300" t="s">
        <v>185</v>
      </c>
      <c r="H300" t="s">
        <v>180</v>
      </c>
      <c r="I300" t="s">
        <v>181</v>
      </c>
      <c r="J300" t="s">
        <v>26</v>
      </c>
      <c r="K300" t="s">
        <v>62</v>
      </c>
      <c r="L300" t="s">
        <v>63</v>
      </c>
      <c r="M300" t="s">
        <v>29</v>
      </c>
      <c r="N300" t="s">
        <v>36</v>
      </c>
      <c r="O300" t="s">
        <v>36</v>
      </c>
      <c r="P300" t="s">
        <v>37</v>
      </c>
      <c r="Q300" t="s">
        <v>76</v>
      </c>
      <c r="R300" t="s">
        <v>30</v>
      </c>
      <c r="S300" t="s">
        <v>31</v>
      </c>
      <c r="T300" t="s">
        <v>32</v>
      </c>
    </row>
    <row r="301" spans="1:20" x14ac:dyDescent="0.2">
      <c r="A301">
        <v>40198</v>
      </c>
      <c r="B301" t="s">
        <v>49</v>
      </c>
      <c r="C301">
        <v>2017</v>
      </c>
      <c r="D301" t="s">
        <v>50</v>
      </c>
      <c r="E301">
        <v>2592041</v>
      </c>
      <c r="F301">
        <v>2592538</v>
      </c>
      <c r="G301" t="s">
        <v>185</v>
      </c>
      <c r="H301" t="s">
        <v>180</v>
      </c>
      <c r="I301" t="s">
        <v>181</v>
      </c>
      <c r="J301" t="s">
        <v>69</v>
      </c>
      <c r="K301" t="s">
        <v>62</v>
      </c>
      <c r="L301" t="s">
        <v>63</v>
      </c>
      <c r="M301" t="s">
        <v>36</v>
      </c>
      <c r="N301" t="s">
        <v>36</v>
      </c>
      <c r="O301" t="s">
        <v>36</v>
      </c>
      <c r="P301" t="s">
        <v>20</v>
      </c>
      <c r="R301" t="s">
        <v>46</v>
      </c>
      <c r="S301" t="s">
        <v>31</v>
      </c>
      <c r="T301" t="s">
        <v>32</v>
      </c>
    </row>
    <row r="302" spans="1:20" x14ac:dyDescent="0.2">
      <c r="A302">
        <v>40199</v>
      </c>
      <c r="B302" t="s">
        <v>154</v>
      </c>
      <c r="C302">
        <v>2017</v>
      </c>
      <c r="D302" t="s">
        <v>50</v>
      </c>
      <c r="E302">
        <v>483591</v>
      </c>
      <c r="F302">
        <v>483944</v>
      </c>
      <c r="G302" t="s">
        <v>185</v>
      </c>
      <c r="H302" t="s">
        <v>180</v>
      </c>
      <c r="I302" t="s">
        <v>181</v>
      </c>
      <c r="J302" t="s">
        <v>26</v>
      </c>
      <c r="K302" t="s">
        <v>26</v>
      </c>
      <c r="L302" t="s">
        <v>27</v>
      </c>
      <c r="M302" t="s">
        <v>53</v>
      </c>
      <c r="N302" t="s">
        <v>53</v>
      </c>
      <c r="O302" t="s">
        <v>53</v>
      </c>
      <c r="P302" t="s">
        <v>37</v>
      </c>
      <c r="Q302" t="s">
        <v>54</v>
      </c>
      <c r="R302" t="s">
        <v>77</v>
      </c>
      <c r="S302" t="s">
        <v>31</v>
      </c>
      <c r="T302" t="s">
        <v>32</v>
      </c>
    </row>
    <row r="303" spans="1:20" x14ac:dyDescent="0.2">
      <c r="A303">
        <v>40200</v>
      </c>
      <c r="B303" t="s">
        <v>104</v>
      </c>
      <c r="C303">
        <v>2017</v>
      </c>
      <c r="D303" t="s">
        <v>50</v>
      </c>
      <c r="E303">
        <v>5476110</v>
      </c>
      <c r="F303">
        <v>5476864</v>
      </c>
      <c r="G303" t="s">
        <v>185</v>
      </c>
      <c r="H303" t="s">
        <v>180</v>
      </c>
      <c r="I303" t="s">
        <v>181</v>
      </c>
      <c r="J303" t="s">
        <v>68</v>
      </c>
      <c r="K303" t="s">
        <v>26</v>
      </c>
      <c r="L303" t="s">
        <v>27</v>
      </c>
      <c r="M303" t="s">
        <v>29</v>
      </c>
      <c r="N303" t="s">
        <v>29</v>
      </c>
      <c r="O303" t="s">
        <v>29</v>
      </c>
      <c r="P303" t="s">
        <v>37</v>
      </c>
      <c r="Q303" t="s">
        <v>40</v>
      </c>
      <c r="R303" t="s">
        <v>46</v>
      </c>
      <c r="S303" t="s">
        <v>31</v>
      </c>
      <c r="T303" t="s">
        <v>32</v>
      </c>
    </row>
    <row r="304" spans="1:20" x14ac:dyDescent="0.2">
      <c r="A304">
        <v>40201</v>
      </c>
      <c r="B304" t="s">
        <v>85</v>
      </c>
      <c r="C304">
        <v>2017</v>
      </c>
      <c r="D304" t="s">
        <v>50</v>
      </c>
      <c r="E304">
        <v>278280</v>
      </c>
      <c r="F304">
        <v>278638</v>
      </c>
      <c r="G304" t="s">
        <v>185</v>
      </c>
      <c r="H304" t="s">
        <v>180</v>
      </c>
      <c r="I304" t="s">
        <v>181</v>
      </c>
      <c r="J304" t="s">
        <v>26</v>
      </c>
      <c r="K304" t="s">
        <v>69</v>
      </c>
      <c r="L304" t="s">
        <v>63</v>
      </c>
      <c r="M304" t="s">
        <v>36</v>
      </c>
      <c r="N304" t="s">
        <v>36</v>
      </c>
      <c r="O304" t="s">
        <v>36</v>
      </c>
      <c r="P304" t="s">
        <v>20</v>
      </c>
      <c r="R304" t="s">
        <v>30</v>
      </c>
      <c r="S304" t="s">
        <v>31</v>
      </c>
      <c r="T304" t="s">
        <v>32</v>
      </c>
    </row>
    <row r="305" spans="1:20" x14ac:dyDescent="0.2">
      <c r="A305">
        <v>40202</v>
      </c>
      <c r="B305" t="s">
        <v>85</v>
      </c>
      <c r="C305">
        <v>2017</v>
      </c>
      <c r="D305" t="s">
        <v>50</v>
      </c>
      <c r="E305">
        <v>3597999</v>
      </c>
      <c r="F305">
        <v>3598319</v>
      </c>
      <c r="G305" t="s">
        <v>185</v>
      </c>
      <c r="H305" t="s">
        <v>180</v>
      </c>
      <c r="I305" t="s">
        <v>181</v>
      </c>
      <c r="J305" t="s">
        <v>26</v>
      </c>
      <c r="K305" t="s">
        <v>51</v>
      </c>
      <c r="L305" t="s">
        <v>63</v>
      </c>
      <c r="M305" t="s">
        <v>36</v>
      </c>
      <c r="N305" t="s">
        <v>36</v>
      </c>
      <c r="O305" t="s">
        <v>36</v>
      </c>
      <c r="P305" t="s">
        <v>37</v>
      </c>
      <c r="Q305" t="s">
        <v>206</v>
      </c>
      <c r="R305" t="s">
        <v>30</v>
      </c>
      <c r="S305" t="s">
        <v>31</v>
      </c>
      <c r="T305" t="s">
        <v>32</v>
      </c>
    </row>
    <row r="306" spans="1:20" x14ac:dyDescent="0.2">
      <c r="A306">
        <v>40203</v>
      </c>
      <c r="B306" t="s">
        <v>107</v>
      </c>
      <c r="C306">
        <v>2018</v>
      </c>
      <c r="D306" t="s">
        <v>50</v>
      </c>
      <c r="E306">
        <v>334244</v>
      </c>
      <c r="F306">
        <v>334797</v>
      </c>
      <c r="G306" t="s">
        <v>185</v>
      </c>
      <c r="H306" t="s">
        <v>180</v>
      </c>
      <c r="I306" t="s">
        <v>181</v>
      </c>
      <c r="J306" t="s">
        <v>68</v>
      </c>
      <c r="K306" t="s">
        <v>69</v>
      </c>
      <c r="L306" t="s">
        <v>63</v>
      </c>
      <c r="M306" t="s">
        <v>29</v>
      </c>
      <c r="N306" t="s">
        <v>29</v>
      </c>
      <c r="O306" t="s">
        <v>29</v>
      </c>
      <c r="P306" t="s">
        <v>20</v>
      </c>
      <c r="R306" t="s">
        <v>46</v>
      </c>
      <c r="S306" t="s">
        <v>31</v>
      </c>
      <c r="T306" t="s">
        <v>32</v>
      </c>
    </row>
    <row r="307" spans="1:20" x14ac:dyDescent="0.2">
      <c r="A307">
        <v>40204</v>
      </c>
      <c r="B307" t="s">
        <v>107</v>
      </c>
      <c r="C307">
        <v>2018</v>
      </c>
      <c r="D307" t="s">
        <v>50</v>
      </c>
      <c r="E307">
        <v>2055657</v>
      </c>
      <c r="F307">
        <v>2056201</v>
      </c>
      <c r="G307" t="s">
        <v>185</v>
      </c>
      <c r="H307" t="s">
        <v>180</v>
      </c>
      <c r="I307" t="s">
        <v>181</v>
      </c>
      <c r="J307" t="s">
        <v>26</v>
      </c>
      <c r="K307" t="s">
        <v>51</v>
      </c>
      <c r="L307" t="s">
        <v>63</v>
      </c>
      <c r="M307" t="s">
        <v>36</v>
      </c>
      <c r="N307" t="s">
        <v>36</v>
      </c>
      <c r="O307" t="s">
        <v>29</v>
      </c>
      <c r="P307" t="s">
        <v>20</v>
      </c>
      <c r="R307" t="s">
        <v>77</v>
      </c>
      <c r="S307" t="s">
        <v>31</v>
      </c>
      <c r="T307" t="s">
        <v>32</v>
      </c>
    </row>
    <row r="308" spans="1:20" x14ac:dyDescent="0.2">
      <c r="A308">
        <v>40205</v>
      </c>
      <c r="B308" t="s">
        <v>107</v>
      </c>
      <c r="C308">
        <v>2018</v>
      </c>
      <c r="D308" t="s">
        <v>50</v>
      </c>
      <c r="E308">
        <v>4501929</v>
      </c>
      <c r="F308">
        <v>4502475</v>
      </c>
      <c r="G308" t="s">
        <v>185</v>
      </c>
      <c r="H308" t="s">
        <v>180</v>
      </c>
      <c r="I308" t="s">
        <v>181</v>
      </c>
      <c r="J308" t="s">
        <v>26</v>
      </c>
      <c r="K308" t="s">
        <v>26</v>
      </c>
      <c r="L308" t="s">
        <v>27</v>
      </c>
      <c r="M308" t="s">
        <v>36</v>
      </c>
      <c r="N308" t="s">
        <v>36</v>
      </c>
      <c r="O308" t="s">
        <v>29</v>
      </c>
      <c r="P308" t="s">
        <v>20</v>
      </c>
      <c r="R308" t="s">
        <v>77</v>
      </c>
      <c r="S308" t="s">
        <v>31</v>
      </c>
      <c r="T308" t="s">
        <v>32</v>
      </c>
    </row>
    <row r="309" spans="1:20" x14ac:dyDescent="0.2">
      <c r="A309">
        <v>40206</v>
      </c>
      <c r="B309" t="s">
        <v>107</v>
      </c>
      <c r="C309">
        <v>2018</v>
      </c>
      <c r="D309" t="s">
        <v>50</v>
      </c>
      <c r="E309">
        <v>3336803</v>
      </c>
      <c r="F309">
        <v>3337185</v>
      </c>
      <c r="G309" t="s">
        <v>185</v>
      </c>
      <c r="H309" t="s">
        <v>180</v>
      </c>
      <c r="I309" t="s">
        <v>181</v>
      </c>
      <c r="J309" t="s">
        <v>62</v>
      </c>
      <c r="K309" t="s">
        <v>51</v>
      </c>
      <c r="L309" t="s">
        <v>89</v>
      </c>
      <c r="M309" t="s">
        <v>36</v>
      </c>
      <c r="N309" t="s">
        <v>36</v>
      </c>
      <c r="O309" t="s">
        <v>36</v>
      </c>
      <c r="P309" t="s">
        <v>20</v>
      </c>
      <c r="R309" t="s">
        <v>46</v>
      </c>
      <c r="S309" t="s">
        <v>149</v>
      </c>
      <c r="T309" t="s">
        <v>32</v>
      </c>
    </row>
    <row r="310" spans="1:20" x14ac:dyDescent="0.2">
      <c r="A310">
        <v>40236</v>
      </c>
      <c r="B310" t="s">
        <v>71</v>
      </c>
      <c r="C310">
        <v>2009</v>
      </c>
      <c r="D310" t="s">
        <v>22</v>
      </c>
      <c r="E310">
        <v>2952685</v>
      </c>
      <c r="F310">
        <v>2953354</v>
      </c>
      <c r="G310" t="s">
        <v>207</v>
      </c>
      <c r="H310" t="s">
        <v>180</v>
      </c>
      <c r="I310" t="s">
        <v>181</v>
      </c>
      <c r="J310" t="s">
        <v>26</v>
      </c>
      <c r="K310" t="s">
        <v>26</v>
      </c>
      <c r="L310" t="s">
        <v>27</v>
      </c>
      <c r="M310" t="s">
        <v>29</v>
      </c>
      <c r="N310" t="s">
        <v>29</v>
      </c>
      <c r="O310" t="s">
        <v>29</v>
      </c>
      <c r="P310" t="s">
        <v>37</v>
      </c>
      <c r="Q310" t="s">
        <v>66</v>
      </c>
      <c r="R310" t="s">
        <v>30</v>
      </c>
      <c r="S310" t="s">
        <v>31</v>
      </c>
      <c r="T310" t="s">
        <v>32</v>
      </c>
    </row>
    <row r="311" spans="1:20" x14ac:dyDescent="0.2">
      <c r="A311">
        <v>40237</v>
      </c>
      <c r="B311" t="s">
        <v>131</v>
      </c>
      <c r="C311">
        <v>2008</v>
      </c>
      <c r="D311" t="s">
        <v>22</v>
      </c>
      <c r="E311">
        <v>3498991</v>
      </c>
      <c r="F311">
        <v>3499582</v>
      </c>
      <c r="G311" t="s">
        <v>207</v>
      </c>
      <c r="H311" t="s">
        <v>180</v>
      </c>
      <c r="I311" t="s">
        <v>181</v>
      </c>
      <c r="J311" t="s">
        <v>26</v>
      </c>
      <c r="K311" t="s">
        <v>69</v>
      </c>
      <c r="L311" t="s">
        <v>27</v>
      </c>
      <c r="M311" t="s">
        <v>29</v>
      </c>
      <c r="N311" t="s">
        <v>29</v>
      </c>
      <c r="O311" t="s">
        <v>29</v>
      </c>
      <c r="P311" t="s">
        <v>45</v>
      </c>
      <c r="R311" t="s">
        <v>77</v>
      </c>
      <c r="S311" t="s">
        <v>31</v>
      </c>
      <c r="T311" t="s">
        <v>32</v>
      </c>
    </row>
    <row r="312" spans="1:20" x14ac:dyDescent="0.2">
      <c r="A312">
        <v>40238</v>
      </c>
      <c r="B312" t="s">
        <v>61</v>
      </c>
      <c r="C312">
        <v>2007</v>
      </c>
      <c r="D312" t="s">
        <v>42</v>
      </c>
      <c r="E312">
        <v>275026</v>
      </c>
      <c r="F312">
        <v>275535</v>
      </c>
      <c r="G312" t="s">
        <v>207</v>
      </c>
      <c r="H312" t="s">
        <v>180</v>
      </c>
      <c r="I312" t="s">
        <v>181</v>
      </c>
      <c r="J312" t="s">
        <v>26</v>
      </c>
      <c r="K312" t="s">
        <v>26</v>
      </c>
      <c r="L312" t="s">
        <v>27</v>
      </c>
      <c r="M312" t="s">
        <v>44</v>
      </c>
      <c r="N312" t="s">
        <v>44</v>
      </c>
      <c r="O312" t="s">
        <v>44</v>
      </c>
      <c r="P312" t="s">
        <v>45</v>
      </c>
      <c r="R312" t="s">
        <v>30</v>
      </c>
      <c r="S312" t="s">
        <v>31</v>
      </c>
      <c r="T312" t="s">
        <v>32</v>
      </c>
    </row>
    <row r="313" spans="1:20" x14ac:dyDescent="0.2">
      <c r="A313">
        <v>40239</v>
      </c>
      <c r="B313" t="s">
        <v>61</v>
      </c>
      <c r="C313">
        <v>2007</v>
      </c>
      <c r="D313" t="s">
        <v>42</v>
      </c>
      <c r="E313">
        <v>281558</v>
      </c>
      <c r="F313">
        <v>282309</v>
      </c>
      <c r="G313" t="s">
        <v>207</v>
      </c>
      <c r="H313" t="s">
        <v>180</v>
      </c>
      <c r="I313" t="s">
        <v>181</v>
      </c>
      <c r="J313" t="s">
        <v>26</v>
      </c>
      <c r="K313" t="s">
        <v>26</v>
      </c>
      <c r="L313" t="s">
        <v>27</v>
      </c>
      <c r="M313" t="s">
        <v>44</v>
      </c>
      <c r="N313" t="s">
        <v>44</v>
      </c>
      <c r="O313" t="s">
        <v>44</v>
      </c>
      <c r="P313" t="s">
        <v>45</v>
      </c>
      <c r="R313" t="s">
        <v>30</v>
      </c>
      <c r="S313" t="s">
        <v>31</v>
      </c>
      <c r="T313" t="s">
        <v>32</v>
      </c>
    </row>
    <row r="314" spans="1:20" x14ac:dyDescent="0.2">
      <c r="A314">
        <v>40240</v>
      </c>
      <c r="B314" t="s">
        <v>41</v>
      </c>
      <c r="C314">
        <v>2007</v>
      </c>
      <c r="D314" t="s">
        <v>42</v>
      </c>
      <c r="E314">
        <v>216145</v>
      </c>
      <c r="F314">
        <v>216909</v>
      </c>
      <c r="G314" t="s">
        <v>207</v>
      </c>
      <c r="H314" t="s">
        <v>180</v>
      </c>
      <c r="I314" t="s">
        <v>181</v>
      </c>
      <c r="J314" t="s">
        <v>69</v>
      </c>
      <c r="K314" t="s">
        <v>51</v>
      </c>
      <c r="L314" t="s">
        <v>89</v>
      </c>
      <c r="M314" t="s">
        <v>29</v>
      </c>
      <c r="N314" t="s">
        <v>29</v>
      </c>
      <c r="O314" t="s">
        <v>29</v>
      </c>
      <c r="P314" t="s">
        <v>37</v>
      </c>
      <c r="Q314" t="s">
        <v>40</v>
      </c>
      <c r="R314" t="s">
        <v>46</v>
      </c>
      <c r="S314" t="s">
        <v>31</v>
      </c>
      <c r="T314" t="s">
        <v>32</v>
      </c>
    </row>
    <row r="315" spans="1:20" x14ac:dyDescent="0.2">
      <c r="A315">
        <v>40224</v>
      </c>
      <c r="B315" t="s">
        <v>125</v>
      </c>
      <c r="C315">
        <v>2007</v>
      </c>
      <c r="D315" t="s">
        <v>22</v>
      </c>
      <c r="E315">
        <v>6846140</v>
      </c>
      <c r="F315">
        <v>6847425</v>
      </c>
      <c r="G315" t="s">
        <v>209</v>
      </c>
      <c r="H315" t="s">
        <v>180</v>
      </c>
      <c r="I315" t="s">
        <v>181</v>
      </c>
      <c r="J315" t="s">
        <v>68</v>
      </c>
      <c r="K315" t="s">
        <v>62</v>
      </c>
      <c r="L315" t="s">
        <v>63</v>
      </c>
      <c r="M315" t="s">
        <v>36</v>
      </c>
      <c r="N315" t="s">
        <v>29</v>
      </c>
      <c r="O315" t="s">
        <v>29</v>
      </c>
      <c r="P315" t="s">
        <v>37</v>
      </c>
      <c r="Q315" t="s">
        <v>95</v>
      </c>
      <c r="R315" t="s">
        <v>30</v>
      </c>
      <c r="S315" t="s">
        <v>31</v>
      </c>
      <c r="T315" t="s">
        <v>32</v>
      </c>
    </row>
    <row r="316" spans="1:20" x14ac:dyDescent="0.2">
      <c r="A316">
        <v>40225</v>
      </c>
      <c r="B316" t="s">
        <v>128</v>
      </c>
      <c r="C316">
        <v>2008</v>
      </c>
      <c r="D316" t="s">
        <v>22</v>
      </c>
      <c r="E316">
        <v>2935717</v>
      </c>
      <c r="F316">
        <v>2936248</v>
      </c>
      <c r="G316" t="s">
        <v>209</v>
      </c>
      <c r="H316" t="s">
        <v>180</v>
      </c>
      <c r="I316" t="s">
        <v>181</v>
      </c>
      <c r="J316" t="s">
        <v>26</v>
      </c>
      <c r="K316" t="s">
        <v>26</v>
      </c>
      <c r="L316" t="s">
        <v>27</v>
      </c>
      <c r="M316" t="s">
        <v>29</v>
      </c>
      <c r="N316" t="s">
        <v>29</v>
      </c>
      <c r="O316" t="s">
        <v>29</v>
      </c>
      <c r="P316" t="s">
        <v>20</v>
      </c>
      <c r="R316" t="s">
        <v>46</v>
      </c>
      <c r="S316" t="s">
        <v>31</v>
      </c>
      <c r="T316" t="s">
        <v>32</v>
      </c>
    </row>
    <row r="317" spans="1:20" x14ac:dyDescent="0.2">
      <c r="A317">
        <v>40226</v>
      </c>
      <c r="B317" t="s">
        <v>131</v>
      </c>
      <c r="C317">
        <v>2008</v>
      </c>
      <c r="D317" t="s">
        <v>22</v>
      </c>
      <c r="E317">
        <v>3399222</v>
      </c>
      <c r="F317">
        <v>3399658</v>
      </c>
      <c r="G317" t="s">
        <v>209</v>
      </c>
      <c r="H317" t="s">
        <v>180</v>
      </c>
      <c r="I317" t="s">
        <v>181</v>
      </c>
      <c r="J317" t="s">
        <v>35</v>
      </c>
      <c r="K317" t="s">
        <v>26</v>
      </c>
      <c r="L317" t="s">
        <v>27</v>
      </c>
      <c r="M317" t="s">
        <v>29</v>
      </c>
      <c r="N317" t="s">
        <v>29</v>
      </c>
      <c r="O317" t="s">
        <v>29</v>
      </c>
      <c r="P317" t="s">
        <v>37</v>
      </c>
      <c r="Q317" t="s">
        <v>95</v>
      </c>
      <c r="R317" t="s">
        <v>77</v>
      </c>
      <c r="S317" t="s">
        <v>31</v>
      </c>
      <c r="T317" t="s">
        <v>32</v>
      </c>
    </row>
    <row r="318" spans="1:20" x14ac:dyDescent="0.2">
      <c r="A318">
        <v>40227</v>
      </c>
      <c r="B318" t="s">
        <v>131</v>
      </c>
      <c r="C318">
        <v>2008</v>
      </c>
      <c r="D318" t="s">
        <v>22</v>
      </c>
      <c r="E318">
        <v>5224865</v>
      </c>
      <c r="F318">
        <v>5225310</v>
      </c>
      <c r="G318" t="s">
        <v>209</v>
      </c>
      <c r="H318" t="s">
        <v>180</v>
      </c>
      <c r="I318" t="s">
        <v>181</v>
      </c>
      <c r="J318" t="s">
        <v>26</v>
      </c>
      <c r="K318" t="s">
        <v>62</v>
      </c>
      <c r="L318" t="s">
        <v>27</v>
      </c>
      <c r="M318" t="s">
        <v>29</v>
      </c>
      <c r="N318" t="s">
        <v>29</v>
      </c>
      <c r="O318" t="s">
        <v>29</v>
      </c>
      <c r="P318" t="s">
        <v>37</v>
      </c>
      <c r="Q318" t="s">
        <v>95</v>
      </c>
      <c r="R318" t="s">
        <v>77</v>
      </c>
      <c r="S318" t="s">
        <v>31</v>
      </c>
      <c r="T318" t="s">
        <v>32</v>
      </c>
    </row>
    <row r="319" spans="1:20" x14ac:dyDescent="0.2">
      <c r="A319">
        <v>40228</v>
      </c>
      <c r="B319" t="s">
        <v>118</v>
      </c>
      <c r="C319">
        <v>2009</v>
      </c>
      <c r="D319" t="s">
        <v>42</v>
      </c>
      <c r="E319">
        <v>2664265</v>
      </c>
      <c r="F319">
        <v>2664758</v>
      </c>
      <c r="G319" t="s">
        <v>209</v>
      </c>
      <c r="H319" t="s">
        <v>180</v>
      </c>
      <c r="I319" t="s">
        <v>181</v>
      </c>
      <c r="J319" t="s">
        <v>26</v>
      </c>
      <c r="K319" t="s">
        <v>62</v>
      </c>
      <c r="L319" t="s">
        <v>89</v>
      </c>
      <c r="M319" t="s">
        <v>29</v>
      </c>
      <c r="N319" t="s">
        <v>29</v>
      </c>
      <c r="O319" t="s">
        <v>29</v>
      </c>
      <c r="P319" t="s">
        <v>37</v>
      </c>
      <c r="Q319" t="s">
        <v>66</v>
      </c>
      <c r="R319" t="s">
        <v>77</v>
      </c>
      <c r="S319" t="s">
        <v>31</v>
      </c>
      <c r="T319" t="s">
        <v>32</v>
      </c>
    </row>
    <row r="320" spans="1:20" x14ac:dyDescent="0.2">
      <c r="A320">
        <v>40229</v>
      </c>
      <c r="B320" t="s">
        <v>67</v>
      </c>
      <c r="C320">
        <v>2007</v>
      </c>
      <c r="D320" t="s">
        <v>42</v>
      </c>
      <c r="E320">
        <v>3126768</v>
      </c>
      <c r="F320">
        <v>3127364</v>
      </c>
      <c r="G320" t="s">
        <v>209</v>
      </c>
      <c r="H320" t="s">
        <v>180</v>
      </c>
      <c r="I320" t="s">
        <v>181</v>
      </c>
      <c r="J320" t="s">
        <v>69</v>
      </c>
      <c r="K320" t="s">
        <v>26</v>
      </c>
      <c r="L320" t="s">
        <v>27</v>
      </c>
      <c r="M320" t="s">
        <v>29</v>
      </c>
      <c r="N320" t="s">
        <v>29</v>
      </c>
      <c r="O320" t="s">
        <v>29</v>
      </c>
      <c r="P320" t="s">
        <v>20</v>
      </c>
      <c r="R320" t="s">
        <v>46</v>
      </c>
      <c r="S320" t="s">
        <v>31</v>
      </c>
      <c r="T320" t="s">
        <v>32</v>
      </c>
    </row>
    <row r="321" spans="1:20" x14ac:dyDescent="0.2">
      <c r="A321">
        <v>40230</v>
      </c>
      <c r="B321" t="s">
        <v>85</v>
      </c>
      <c r="C321">
        <v>2017</v>
      </c>
      <c r="D321" t="s">
        <v>50</v>
      </c>
      <c r="E321">
        <v>2828054</v>
      </c>
      <c r="F321">
        <v>2828617</v>
      </c>
      <c r="G321" t="s">
        <v>209</v>
      </c>
      <c r="H321" t="s">
        <v>180</v>
      </c>
      <c r="I321" t="s">
        <v>181</v>
      </c>
      <c r="J321" t="s">
        <v>69</v>
      </c>
      <c r="K321" t="s">
        <v>26</v>
      </c>
      <c r="L321" t="s">
        <v>27</v>
      </c>
      <c r="M321" t="s">
        <v>36</v>
      </c>
      <c r="N321" t="s">
        <v>36</v>
      </c>
      <c r="O321" t="s">
        <v>158</v>
      </c>
      <c r="P321" t="s">
        <v>20</v>
      </c>
      <c r="R321" t="s">
        <v>46</v>
      </c>
      <c r="S321" t="s">
        <v>31</v>
      </c>
      <c r="T321" t="s">
        <v>32</v>
      </c>
    </row>
    <row r="322" spans="1:20" x14ac:dyDescent="0.2">
      <c r="A322">
        <v>40094</v>
      </c>
      <c r="B322" t="s">
        <v>166</v>
      </c>
      <c r="C322">
        <v>2017</v>
      </c>
      <c r="D322" t="s">
        <v>50</v>
      </c>
      <c r="E322">
        <v>822656</v>
      </c>
      <c r="F322">
        <v>822976</v>
      </c>
      <c r="G322" t="s">
        <v>209</v>
      </c>
      <c r="H322" t="s">
        <v>180</v>
      </c>
      <c r="I322" t="s">
        <v>181</v>
      </c>
      <c r="J322" t="s">
        <v>26</v>
      </c>
      <c r="K322" t="s">
        <v>51</v>
      </c>
      <c r="L322" t="s">
        <v>89</v>
      </c>
      <c r="M322" t="s">
        <v>29</v>
      </c>
      <c r="N322" t="s">
        <v>29</v>
      </c>
      <c r="O322" t="s">
        <v>29</v>
      </c>
      <c r="P322" t="s">
        <v>20</v>
      </c>
      <c r="R322" t="s">
        <v>30</v>
      </c>
      <c r="S322" t="s">
        <v>31</v>
      </c>
      <c r="T322" t="s">
        <v>32</v>
      </c>
    </row>
  </sheetData>
  <autoFilter ref="A1:T322" xr:uid="{8284B5D0-B180-D249-AA72-08AA510623DF}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44C27-45D0-7546-AC09-E7F18CA7001A}">
  <dimension ref="A1:X80"/>
  <sheetViews>
    <sheetView zoomScale="129" zoomScaleNormal="129" workbookViewId="0">
      <selection activeCell="A10" sqref="A10"/>
    </sheetView>
  </sheetViews>
  <sheetFormatPr baseColWidth="10" defaultColWidth="11" defaultRowHeight="16" x14ac:dyDescent="0.2"/>
  <cols>
    <col min="1" max="1" width="22.83203125" customWidth="1"/>
    <col min="2" max="2" width="13.5" customWidth="1"/>
    <col min="3" max="3" width="21.1640625" customWidth="1"/>
    <col min="4" max="4" width="23.1640625" customWidth="1"/>
    <col min="5" max="5" width="11.6640625" customWidth="1"/>
    <col min="6" max="6" width="11.33203125" customWidth="1"/>
    <col min="7" max="7" width="16.6640625" customWidth="1"/>
    <col min="8" max="8" width="15" customWidth="1"/>
    <col min="9" max="9" width="18.1640625" customWidth="1"/>
    <col min="10" max="10" width="14.6640625" customWidth="1"/>
    <col min="12" max="12" width="41.33203125" customWidth="1"/>
    <col min="13" max="13" width="29" customWidth="1"/>
    <col min="14" max="14" width="32.33203125" customWidth="1"/>
    <col min="15" max="15" width="46.83203125" customWidth="1"/>
    <col min="16" max="16" width="26.83203125" customWidth="1"/>
    <col min="17" max="17" width="25.83203125" customWidth="1"/>
    <col min="18" max="18" width="35" customWidth="1"/>
    <col min="19" max="19" width="33.5" customWidth="1"/>
    <col min="20" max="20" width="33.83203125" customWidth="1"/>
    <col min="21" max="21" width="29.1640625" customWidth="1"/>
  </cols>
  <sheetData>
    <row r="1" spans="1:24" x14ac:dyDescent="0.2">
      <c r="A1" t="s">
        <v>216</v>
      </c>
      <c r="B1" t="s">
        <v>56</v>
      </c>
      <c r="C1" t="s">
        <v>72</v>
      </c>
      <c r="D1" t="s">
        <v>112</v>
      </c>
      <c r="E1" t="s">
        <v>217</v>
      </c>
      <c r="F1" t="s">
        <v>23</v>
      </c>
      <c r="G1" t="s">
        <v>179</v>
      </c>
      <c r="H1" t="s">
        <v>218</v>
      </c>
      <c r="I1" t="s">
        <v>207</v>
      </c>
      <c r="J1" t="s">
        <v>209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225</v>
      </c>
      <c r="R1" t="s">
        <v>226</v>
      </c>
      <c r="S1" t="s">
        <v>227</v>
      </c>
      <c r="T1" s="6" t="s">
        <v>228</v>
      </c>
      <c r="U1" t="s">
        <v>229</v>
      </c>
      <c r="V1" t="s">
        <v>230</v>
      </c>
    </row>
    <row r="2" spans="1:24" x14ac:dyDescent="0.2">
      <c r="A2" s="3" t="s">
        <v>28</v>
      </c>
      <c r="C2">
        <v>1</v>
      </c>
      <c r="E2">
        <v>6</v>
      </c>
      <c r="F2">
        <v>16</v>
      </c>
      <c r="K2">
        <f t="shared" ref="K2:K33" si="0">SUM(B2:J2)</f>
        <v>23</v>
      </c>
      <c r="L2">
        <f>_xlfn.XLOOKUP(Tableau3[[#This Row],[Personnes ontologiques]],'TEMPS PAROLE PERS_ONTO'!A:A,'TEMPS PAROLE PERS_ONTO'!B:B)</f>
        <v>2260.48</v>
      </c>
      <c r="M2">
        <f>Tableau3[[#This Row],[AVOIR L''AIR]]/Tableau3[[#This Row],[Temps de parole total personnes ontologiques]]*600</f>
        <v>0</v>
      </c>
      <c r="N2">
        <f>Tableau3[[#This Row],[AVOIR L''IMPRESSION]]/Tableau3[[#This Row],[Temps de parole total personnes ontologiques]]*600</f>
        <v>0.2654303510758777</v>
      </c>
      <c r="O2">
        <f>Tableau3[[#This Row],[DONNER L''IMPRESSION]]/Tableau3[[#This Row],[Temps de parole total personnes ontologiques]]*600</f>
        <v>0</v>
      </c>
      <c r="P2">
        <f>Tableau3[[#This Row],[PARAITRE]]/Tableau3[[#This Row],[Temps de parole total personnes ontologiques]]*600</f>
        <v>1.5925821064552663</v>
      </c>
      <c r="Q2">
        <f>Tableau3[[#This Row],[SEMBLER]]/Tableau3[[#This Row],[Temps de parole total personnes ontologiques]]*600</f>
        <v>4.2468856172140432</v>
      </c>
      <c r="R2">
        <f>Tableau3[[#This Row],[APPAREMMENT]]/Tableau3[[#This Row],[Temps de parole total personnes ontologiques]]*600</f>
        <v>0</v>
      </c>
      <c r="S2">
        <f>Tableau3[[#This Row],[EVIDEMMENT]]/Tableau3[[#This Row],[Temps de parole total personnes ontologiques]]*600</f>
        <v>0</v>
      </c>
      <c r="T2">
        <f>Tableau3[[#This Row],[MANIFESTEMENT]]/Tableau3[[#This Row],[Temps de parole total personnes ontologiques]]*600</f>
        <v>0</v>
      </c>
      <c r="U2">
        <f>Tableau3[[#This Row],[VISIBLEMENT]]/Tableau3[[#This Row],[Temps de parole total personnes ontologiques]]*600</f>
        <v>0</v>
      </c>
      <c r="V2">
        <f>SUM(Tableau3[[#This Row],[avoir l''air '[look like'] per 10 min]:[visiblement '[visibly'] per 10 min]])</f>
        <v>6.1048980747451873</v>
      </c>
      <c r="X2" s="2" t="s">
        <v>231</v>
      </c>
    </row>
    <row r="3" spans="1:24" x14ac:dyDescent="0.2">
      <c r="A3" s="3" t="s">
        <v>168</v>
      </c>
      <c r="E3">
        <v>1</v>
      </c>
      <c r="H3">
        <v>18</v>
      </c>
      <c r="K3">
        <f t="shared" si="0"/>
        <v>19</v>
      </c>
      <c r="L3">
        <f>_xlfn.XLOOKUP(Tableau3[[#This Row],[Personnes ontologiques]],'TEMPS PAROLE PERS_ONTO'!A:A,'TEMPS PAROLE PERS_ONTO'!B:B)</f>
        <v>1707.597</v>
      </c>
      <c r="M3">
        <f>Tableau3[[#This Row],[AVOIR L''AIR]]/Tableau3[[#This Row],[Temps de parole total personnes ontologiques]]*600</f>
        <v>0</v>
      </c>
      <c r="N3">
        <f>Tableau3[[#This Row],[AVOIR L''IMPRESSION]]/Tableau3[[#This Row],[Temps de parole total personnes ontologiques]]*600</f>
        <v>0</v>
      </c>
      <c r="O3">
        <f>Tableau3[[#This Row],[DONNER L''IMPRESSION]]/Tableau3[[#This Row],[Temps de parole total personnes ontologiques]]*600</f>
        <v>0</v>
      </c>
      <c r="P3">
        <f>Tableau3[[#This Row],[PARAITRE]]/Tableau3[[#This Row],[Temps de parole total personnes ontologiques]]*600</f>
        <v>0.3513709616496164</v>
      </c>
      <c r="Q3">
        <f>Tableau3[[#This Row],[SEMBLER]]/Tableau3[[#This Row],[Temps de parole total personnes ontologiques]]*600</f>
        <v>0</v>
      </c>
      <c r="R3">
        <f>Tableau3[[#This Row],[APPAREMMENT]]/Tableau3[[#This Row],[Temps de parole total personnes ontologiques]]*600</f>
        <v>0</v>
      </c>
      <c r="S3">
        <f>Tableau3[[#This Row],[EVIDEMMENT]]/Tableau3[[#This Row],[Temps de parole total personnes ontologiques]]*600</f>
        <v>6.3246773096930955</v>
      </c>
      <c r="T3">
        <f>Tableau3[[#This Row],[MANIFESTEMENT]]/Tableau3[[#This Row],[Temps de parole total personnes ontologiques]]*600</f>
        <v>0</v>
      </c>
      <c r="U3">
        <f>Tableau3[[#This Row],[VISIBLEMENT]]/Tableau3[[#This Row],[Temps de parole total personnes ontologiques]]*600</f>
        <v>0</v>
      </c>
      <c r="V3">
        <f>SUM(Tableau3[[#This Row],[avoir l''air '[look like'] per 10 min]:[visiblement '[visibly'] per 10 min]])</f>
        <v>6.6760482713427116</v>
      </c>
    </row>
    <row r="4" spans="1:24" x14ac:dyDescent="0.2">
      <c r="A4" s="3" t="s">
        <v>60</v>
      </c>
      <c r="B4">
        <v>4</v>
      </c>
      <c r="H4">
        <v>15</v>
      </c>
      <c r="K4">
        <f t="shared" si="0"/>
        <v>19</v>
      </c>
      <c r="L4">
        <f>_xlfn.XLOOKUP(Tableau3[[#This Row],[Personnes ontologiques]],'TEMPS PAROLE PERS_ONTO'!A:A,'TEMPS PAROLE PERS_ONTO'!B:B)</f>
        <v>1863.615</v>
      </c>
      <c r="M4">
        <f>Tableau3[[#This Row],[AVOIR L''AIR]]/Tableau3[[#This Row],[Temps de parole total personnes ontologiques]]*600</f>
        <v>1.2878196408592977</v>
      </c>
      <c r="N4">
        <f>Tableau3[[#This Row],[AVOIR L''IMPRESSION]]/Tableau3[[#This Row],[Temps de parole total personnes ontologiques]]*600</f>
        <v>0</v>
      </c>
      <c r="O4">
        <f>Tableau3[[#This Row],[DONNER L''IMPRESSION]]/Tableau3[[#This Row],[Temps de parole total personnes ontologiques]]*600</f>
        <v>0</v>
      </c>
      <c r="P4">
        <f>Tableau3[[#This Row],[PARAITRE]]/Tableau3[[#This Row],[Temps de parole total personnes ontologiques]]*600</f>
        <v>0</v>
      </c>
      <c r="Q4">
        <f>Tableau3[[#This Row],[SEMBLER]]/Tableau3[[#This Row],[Temps de parole total personnes ontologiques]]*600</f>
        <v>0</v>
      </c>
      <c r="R4">
        <f>Tableau3[[#This Row],[APPAREMMENT]]/Tableau3[[#This Row],[Temps de parole total personnes ontologiques]]*600</f>
        <v>0</v>
      </c>
      <c r="S4">
        <f>Tableau3[[#This Row],[EVIDEMMENT]]/Tableau3[[#This Row],[Temps de parole total personnes ontologiques]]*600</f>
        <v>4.8293236532223665</v>
      </c>
      <c r="T4">
        <f>Tableau3[[#This Row],[MANIFESTEMENT]]/Tableau3[[#This Row],[Temps de parole total personnes ontologiques]]*600</f>
        <v>0</v>
      </c>
      <c r="U4">
        <f>Tableau3[[#This Row],[VISIBLEMENT]]/Tableau3[[#This Row],[Temps de parole total personnes ontologiques]]*600</f>
        <v>0</v>
      </c>
      <c r="V4">
        <f>SUM(Tableau3[[#This Row],[avoir l''air '[look like'] per 10 min]:[visiblement '[visibly'] per 10 min]])</f>
        <v>6.1171432940816644</v>
      </c>
    </row>
    <row r="5" spans="1:24" x14ac:dyDescent="0.2">
      <c r="A5" s="3" t="s">
        <v>152</v>
      </c>
      <c r="E5">
        <v>3</v>
      </c>
      <c r="F5">
        <v>1</v>
      </c>
      <c r="H5">
        <v>8</v>
      </c>
      <c r="J5">
        <v>1</v>
      </c>
      <c r="K5">
        <f t="shared" si="0"/>
        <v>13</v>
      </c>
      <c r="L5">
        <f>_xlfn.XLOOKUP(Tableau3[[#This Row],[Personnes ontologiques]],'TEMPS PAROLE PERS_ONTO'!A:A,'TEMPS PAROLE PERS_ONTO'!B:B)</f>
        <v>3740.337</v>
      </c>
      <c r="M5">
        <f>Tableau3[[#This Row],[AVOIR L''AIR]]/Tableau3[[#This Row],[Temps de parole total personnes ontologiques]]*600</f>
        <v>0</v>
      </c>
      <c r="N5">
        <f>Tableau3[[#This Row],[AVOIR L''IMPRESSION]]/Tableau3[[#This Row],[Temps de parole total personnes ontologiques]]*600</f>
        <v>0</v>
      </c>
      <c r="O5">
        <f>Tableau3[[#This Row],[DONNER L''IMPRESSION]]/Tableau3[[#This Row],[Temps de parole total personnes ontologiques]]*600</f>
        <v>0</v>
      </c>
      <c r="P5">
        <f>Tableau3[[#This Row],[PARAITRE]]/Tableau3[[#This Row],[Temps de parole total personnes ontologiques]]*600</f>
        <v>0.48124005938502334</v>
      </c>
      <c r="Q5">
        <f>Tableau3[[#This Row],[SEMBLER]]/Tableau3[[#This Row],[Temps de parole total personnes ontologiques]]*600</f>
        <v>0.16041335312834112</v>
      </c>
      <c r="R5">
        <f>Tableau3[[#This Row],[APPAREMMENT]]/Tableau3[[#This Row],[Temps de parole total personnes ontologiques]]*600</f>
        <v>0</v>
      </c>
      <c r="S5">
        <f>Tableau3[[#This Row],[EVIDEMMENT]]/Tableau3[[#This Row],[Temps de parole total personnes ontologiques]]*600</f>
        <v>1.283306825026729</v>
      </c>
      <c r="T5">
        <f>Tableau3[[#This Row],[MANIFESTEMENT]]/Tableau3[[#This Row],[Temps de parole total personnes ontologiques]]*600</f>
        <v>0</v>
      </c>
      <c r="U5">
        <f>Tableau3[[#This Row],[VISIBLEMENT]]/Tableau3[[#This Row],[Temps de parole total personnes ontologiques]]*600</f>
        <v>0.16041335312834112</v>
      </c>
      <c r="V5">
        <f>SUM(Tableau3[[#This Row],[avoir l''air '[look like'] per 10 min]:[visiblement '[visibly'] per 10 min]])</f>
        <v>2.0853735906684343</v>
      </c>
    </row>
    <row r="6" spans="1:24" x14ac:dyDescent="0.2">
      <c r="A6" s="3" t="s">
        <v>90</v>
      </c>
      <c r="B6">
        <v>3</v>
      </c>
      <c r="C6">
        <v>3</v>
      </c>
      <c r="E6">
        <v>1</v>
      </c>
      <c r="F6">
        <v>2</v>
      </c>
      <c r="G6">
        <v>3</v>
      </c>
      <c r="K6">
        <f t="shared" si="0"/>
        <v>12</v>
      </c>
      <c r="L6">
        <f>_xlfn.XLOOKUP(Tableau3[[#This Row],[Personnes ontologiques]],'TEMPS PAROLE PERS_ONTO'!A:A,'TEMPS PAROLE PERS_ONTO'!B:B)</f>
        <v>1504.597</v>
      </c>
      <c r="M6">
        <f>Tableau3[[#This Row],[AVOIR L''AIR]]/Tableau3[[#This Row],[Temps de parole total personnes ontologiques]]*600</f>
        <v>1.1963336361829779</v>
      </c>
      <c r="N6">
        <f>Tableau3[[#This Row],[AVOIR L''IMPRESSION]]/Tableau3[[#This Row],[Temps de parole total personnes ontologiques]]*600</f>
        <v>1.1963336361829779</v>
      </c>
      <c r="O6">
        <f>Tableau3[[#This Row],[DONNER L''IMPRESSION]]/Tableau3[[#This Row],[Temps de parole total personnes ontologiques]]*600</f>
        <v>0</v>
      </c>
      <c r="P6">
        <f>Tableau3[[#This Row],[PARAITRE]]/Tableau3[[#This Row],[Temps de parole total personnes ontologiques]]*600</f>
        <v>0.3987778787276593</v>
      </c>
      <c r="Q6">
        <f>Tableau3[[#This Row],[SEMBLER]]/Tableau3[[#This Row],[Temps de parole total personnes ontologiques]]*600</f>
        <v>0.79755575745531859</v>
      </c>
      <c r="R6">
        <f>Tableau3[[#This Row],[APPAREMMENT]]/Tableau3[[#This Row],[Temps de parole total personnes ontologiques]]*600</f>
        <v>1.1963336361829779</v>
      </c>
      <c r="S6">
        <f>Tableau3[[#This Row],[EVIDEMMENT]]/Tableau3[[#This Row],[Temps de parole total personnes ontologiques]]*600</f>
        <v>0</v>
      </c>
      <c r="T6">
        <f>Tableau3[[#This Row],[MANIFESTEMENT]]/Tableau3[[#This Row],[Temps de parole total personnes ontologiques]]*600</f>
        <v>0</v>
      </c>
      <c r="U6">
        <f>Tableau3[[#This Row],[VISIBLEMENT]]/Tableau3[[#This Row],[Temps de parole total personnes ontologiques]]*600</f>
        <v>0</v>
      </c>
      <c r="V6">
        <f>SUM(Tableau3[[#This Row],[avoir l''air '[look like'] per 10 min]:[visiblement '[visibly'] per 10 min]])</f>
        <v>4.7853345447319118</v>
      </c>
    </row>
    <row r="7" spans="1:24" x14ac:dyDescent="0.2">
      <c r="A7" s="3" t="s">
        <v>86</v>
      </c>
      <c r="C7">
        <v>3</v>
      </c>
      <c r="F7">
        <v>3</v>
      </c>
      <c r="H7">
        <v>5</v>
      </c>
      <c r="J7">
        <v>1</v>
      </c>
      <c r="K7">
        <f t="shared" si="0"/>
        <v>12</v>
      </c>
      <c r="L7">
        <f>_xlfn.XLOOKUP(Tableau3[[#This Row],[Personnes ontologiques]],'TEMPS PAROLE PERS_ONTO'!A:A,'TEMPS PAROLE PERS_ONTO'!B:B)</f>
        <v>2715.902</v>
      </c>
      <c r="M7">
        <f>Tableau3[[#This Row],[AVOIR L''AIR]]/Tableau3[[#This Row],[Temps de parole total personnes ontologiques]]*600</f>
        <v>0</v>
      </c>
      <c r="N7">
        <f>Tableau3[[#This Row],[AVOIR L''IMPRESSION]]/Tableau3[[#This Row],[Temps de parole total personnes ontologiques]]*600</f>
        <v>0.6627632366705426</v>
      </c>
      <c r="O7">
        <f>Tableau3[[#This Row],[DONNER L''IMPRESSION]]/Tableau3[[#This Row],[Temps de parole total personnes ontologiques]]*600</f>
        <v>0</v>
      </c>
      <c r="P7">
        <f>Tableau3[[#This Row],[PARAITRE]]/Tableau3[[#This Row],[Temps de parole total personnes ontologiques]]*600</f>
        <v>0</v>
      </c>
      <c r="Q7">
        <f>Tableau3[[#This Row],[SEMBLER]]/Tableau3[[#This Row],[Temps de parole total personnes ontologiques]]*600</f>
        <v>0.6627632366705426</v>
      </c>
      <c r="R7">
        <f>Tableau3[[#This Row],[APPAREMMENT]]/Tableau3[[#This Row],[Temps de parole total personnes ontologiques]]*600</f>
        <v>0</v>
      </c>
      <c r="S7">
        <f>Tableau3[[#This Row],[EVIDEMMENT]]/Tableau3[[#This Row],[Temps de parole total personnes ontologiques]]*600</f>
        <v>1.1046053944509042</v>
      </c>
      <c r="T7">
        <f>Tableau3[[#This Row],[MANIFESTEMENT]]/Tableau3[[#This Row],[Temps de parole total personnes ontologiques]]*600</f>
        <v>0</v>
      </c>
      <c r="U7">
        <f>Tableau3[[#This Row],[VISIBLEMENT]]/Tableau3[[#This Row],[Temps de parole total personnes ontologiques]]*600</f>
        <v>0.22092107889018087</v>
      </c>
      <c r="V7">
        <f>SUM(Tableau3[[#This Row],[avoir l''air '[look like'] per 10 min]:[visiblement '[visibly'] per 10 min]])</f>
        <v>2.6510529466821704</v>
      </c>
    </row>
    <row r="8" spans="1:24" x14ac:dyDescent="0.2">
      <c r="A8" s="3" t="s">
        <v>129</v>
      </c>
      <c r="C8">
        <v>1</v>
      </c>
      <c r="F8">
        <v>10</v>
      </c>
      <c r="K8">
        <f t="shared" si="0"/>
        <v>11</v>
      </c>
      <c r="L8">
        <f>_xlfn.XLOOKUP(Tableau3[[#This Row],[Personnes ontologiques]],'TEMPS PAROLE PERS_ONTO'!A:A,'TEMPS PAROLE PERS_ONTO'!B:B)</f>
        <v>286.62099999999998</v>
      </c>
      <c r="M8">
        <f>Tableau3[[#This Row],[AVOIR L''AIR]]/Tableau3[[#This Row],[Temps de parole total personnes ontologiques]]*600</f>
        <v>0</v>
      </c>
      <c r="N8">
        <f>Tableau3[[#This Row],[AVOIR L''IMPRESSION]]/Tableau3[[#This Row],[Temps de parole total personnes ontologiques]]*600</f>
        <v>2.0933567324096978</v>
      </c>
      <c r="O8">
        <f>Tableau3[[#This Row],[DONNER L''IMPRESSION]]/Tableau3[[#This Row],[Temps de parole total personnes ontologiques]]*600</f>
        <v>0</v>
      </c>
      <c r="P8">
        <f>Tableau3[[#This Row],[PARAITRE]]/Tableau3[[#This Row],[Temps de parole total personnes ontologiques]]*600</f>
        <v>0</v>
      </c>
      <c r="Q8">
        <f>Tableau3[[#This Row],[SEMBLER]]/Tableau3[[#This Row],[Temps de parole total personnes ontologiques]]*600</f>
        <v>20.93356732409698</v>
      </c>
      <c r="R8">
        <f>Tableau3[[#This Row],[APPAREMMENT]]/Tableau3[[#This Row],[Temps de parole total personnes ontologiques]]*600</f>
        <v>0</v>
      </c>
      <c r="S8">
        <f>Tableau3[[#This Row],[EVIDEMMENT]]/Tableau3[[#This Row],[Temps de parole total personnes ontologiques]]*600</f>
        <v>0</v>
      </c>
      <c r="T8">
        <f>Tableau3[[#This Row],[MANIFESTEMENT]]/Tableau3[[#This Row],[Temps de parole total personnes ontologiques]]*600</f>
        <v>0</v>
      </c>
      <c r="U8">
        <f>Tableau3[[#This Row],[VISIBLEMENT]]/Tableau3[[#This Row],[Temps de parole total personnes ontologiques]]*600</f>
        <v>0</v>
      </c>
      <c r="V8">
        <f>SUM(Tableau3[[#This Row],[avoir l''air '[look like'] per 10 min]:[visiblement '[visibly'] per 10 min]])</f>
        <v>23.02692405650668</v>
      </c>
    </row>
    <row r="9" spans="1:24" x14ac:dyDescent="0.2">
      <c r="A9" s="7" t="s">
        <v>232</v>
      </c>
      <c r="C9">
        <v>1</v>
      </c>
      <c r="F9">
        <v>5</v>
      </c>
      <c r="H9">
        <v>2</v>
      </c>
      <c r="J9">
        <v>3</v>
      </c>
      <c r="K9">
        <f t="shared" si="0"/>
        <v>11</v>
      </c>
      <c r="L9">
        <f>_xlfn.XLOOKUP(Tableau3[[#This Row],[Personnes ontologiques]],'TEMPS PAROLE PERS_ONTO'!A:A,'TEMPS PAROLE PERS_ONTO'!B:B)</f>
        <v>495.17200000000003</v>
      </c>
      <c r="M9">
        <f>Tableau3[[#This Row],[AVOIR L''AIR]]/Tableau3[[#This Row],[Temps de parole total personnes ontologiques]]*600</f>
        <v>0</v>
      </c>
      <c r="N9">
        <f>Tableau3[[#This Row],[AVOIR L''IMPRESSION]]/Tableau3[[#This Row],[Temps de parole total personnes ontologiques]]*600</f>
        <v>1.2117001769082258</v>
      </c>
      <c r="O9">
        <f>Tableau3[[#This Row],[DONNER L''IMPRESSION]]/Tableau3[[#This Row],[Temps de parole total personnes ontologiques]]*600</f>
        <v>0</v>
      </c>
      <c r="P9">
        <f>Tableau3[[#This Row],[PARAITRE]]/Tableau3[[#This Row],[Temps de parole total personnes ontologiques]]*600</f>
        <v>0</v>
      </c>
      <c r="Q9">
        <f>Tableau3[[#This Row],[SEMBLER]]/Tableau3[[#This Row],[Temps de parole total personnes ontologiques]]*600</f>
        <v>6.0585008845411288</v>
      </c>
      <c r="R9">
        <f>Tableau3[[#This Row],[APPAREMMENT]]/Tableau3[[#This Row],[Temps de parole total personnes ontologiques]]*600</f>
        <v>0</v>
      </c>
      <c r="S9">
        <f>Tableau3[[#This Row],[EVIDEMMENT]]/Tableau3[[#This Row],[Temps de parole total personnes ontologiques]]*600</f>
        <v>2.4234003538164517</v>
      </c>
      <c r="T9">
        <f>Tableau3[[#This Row],[MANIFESTEMENT]]/Tableau3[[#This Row],[Temps de parole total personnes ontologiques]]*600</f>
        <v>0</v>
      </c>
      <c r="U9">
        <f>Tableau3[[#This Row],[VISIBLEMENT]]/Tableau3[[#This Row],[Temps de parole total personnes ontologiques]]*600</f>
        <v>3.6351005307246775</v>
      </c>
      <c r="V9">
        <f>SUM(Tableau3[[#This Row],[avoir l''air '[look like'] per 10 min]:[visiblement '[visibly'] per 10 min]])</f>
        <v>13.328701945990485</v>
      </c>
    </row>
    <row r="10" spans="1:24" x14ac:dyDescent="0.2">
      <c r="A10" s="3" t="s">
        <v>143</v>
      </c>
      <c r="B10">
        <v>1</v>
      </c>
      <c r="C10">
        <v>4</v>
      </c>
      <c r="F10">
        <v>2</v>
      </c>
      <c r="G10">
        <v>1</v>
      </c>
      <c r="H10">
        <v>2</v>
      </c>
      <c r="K10">
        <f t="shared" si="0"/>
        <v>10</v>
      </c>
      <c r="L10">
        <f>_xlfn.XLOOKUP(Tableau3[[#This Row],[Personnes ontologiques]],'TEMPS PAROLE PERS_ONTO'!A:A,'TEMPS PAROLE PERS_ONTO'!B:B)</f>
        <v>1324.671</v>
      </c>
      <c r="M10">
        <f>Tableau3[[#This Row],[AVOIR L''AIR]]/Tableau3[[#This Row],[Temps de parole total personnes ontologiques]]*600</f>
        <v>0.45294265519513899</v>
      </c>
      <c r="N10">
        <f>Tableau3[[#This Row],[AVOIR L''IMPRESSION]]/Tableau3[[#This Row],[Temps de parole total personnes ontologiques]]*600</f>
        <v>1.811770620780556</v>
      </c>
      <c r="O10">
        <f>Tableau3[[#This Row],[DONNER L''IMPRESSION]]/Tableau3[[#This Row],[Temps de parole total personnes ontologiques]]*600</f>
        <v>0</v>
      </c>
      <c r="P10">
        <f>Tableau3[[#This Row],[PARAITRE]]/Tableau3[[#This Row],[Temps de parole total personnes ontologiques]]*600</f>
        <v>0</v>
      </c>
      <c r="Q10">
        <f>Tableau3[[#This Row],[SEMBLER]]/Tableau3[[#This Row],[Temps de parole total personnes ontologiques]]*600</f>
        <v>0.90588531039027798</v>
      </c>
      <c r="R10">
        <f>Tableau3[[#This Row],[APPAREMMENT]]/Tableau3[[#This Row],[Temps de parole total personnes ontologiques]]*600</f>
        <v>0.45294265519513899</v>
      </c>
      <c r="S10">
        <f>Tableau3[[#This Row],[EVIDEMMENT]]/Tableau3[[#This Row],[Temps de parole total personnes ontologiques]]*600</f>
        <v>0.90588531039027798</v>
      </c>
      <c r="T10">
        <f>Tableau3[[#This Row],[MANIFESTEMENT]]/Tableau3[[#This Row],[Temps de parole total personnes ontologiques]]*600</f>
        <v>0</v>
      </c>
      <c r="U10">
        <f>Tableau3[[#This Row],[VISIBLEMENT]]/Tableau3[[#This Row],[Temps de parole total personnes ontologiques]]*600</f>
        <v>0</v>
      </c>
      <c r="V10">
        <f>SUM(Tableau3[[#This Row],[avoir l''air '[look like'] per 10 min]:[visiblement '[visibly'] per 10 min]])</f>
        <v>4.5294265519513903</v>
      </c>
    </row>
    <row r="11" spans="1:24" x14ac:dyDescent="0.2">
      <c r="A11" s="3" t="s">
        <v>82</v>
      </c>
      <c r="B11">
        <v>1</v>
      </c>
      <c r="C11">
        <v>3</v>
      </c>
      <c r="D11">
        <v>1</v>
      </c>
      <c r="E11">
        <v>3</v>
      </c>
      <c r="J11">
        <v>1</v>
      </c>
      <c r="K11">
        <f t="shared" si="0"/>
        <v>9</v>
      </c>
      <c r="L11">
        <f>_xlfn.XLOOKUP(Tableau3[[#This Row],[Personnes ontologiques]],'TEMPS PAROLE PERS_ONTO'!A:A,'TEMPS PAROLE PERS_ONTO'!B:B)</f>
        <v>3916.654</v>
      </c>
      <c r="M11">
        <f>Tableau3[[#This Row],[AVOIR L''AIR]]/Tableau3[[#This Row],[Temps de parole total personnes ontologiques]]*600</f>
        <v>0.15319198479109974</v>
      </c>
      <c r="N11">
        <f>Tableau3[[#This Row],[AVOIR L''IMPRESSION]]/Tableau3[[#This Row],[Temps de parole total personnes ontologiques]]*600</f>
        <v>0.45957595437329929</v>
      </c>
      <c r="O11">
        <f>Tableau3[[#This Row],[DONNER L''IMPRESSION]]/Tableau3[[#This Row],[Temps de parole total personnes ontologiques]]*600</f>
        <v>0.15319198479109974</v>
      </c>
      <c r="P11">
        <f>Tableau3[[#This Row],[PARAITRE]]/Tableau3[[#This Row],[Temps de parole total personnes ontologiques]]*600</f>
        <v>0.45957595437329929</v>
      </c>
      <c r="Q11">
        <f>Tableau3[[#This Row],[SEMBLER]]/Tableau3[[#This Row],[Temps de parole total personnes ontologiques]]*600</f>
        <v>0</v>
      </c>
      <c r="R11">
        <f>Tableau3[[#This Row],[APPAREMMENT]]/Tableau3[[#This Row],[Temps de parole total personnes ontologiques]]*600</f>
        <v>0</v>
      </c>
      <c r="S11">
        <f>Tableau3[[#This Row],[EVIDEMMENT]]/Tableau3[[#This Row],[Temps de parole total personnes ontologiques]]*600</f>
        <v>0</v>
      </c>
      <c r="T11">
        <f>Tableau3[[#This Row],[MANIFESTEMENT]]/Tableau3[[#This Row],[Temps de parole total personnes ontologiques]]*600</f>
        <v>0</v>
      </c>
      <c r="U11">
        <f>Tableau3[[#This Row],[VISIBLEMENT]]/Tableau3[[#This Row],[Temps de parole total personnes ontologiques]]*600</f>
        <v>0.15319198479109974</v>
      </c>
      <c r="V11">
        <f>SUM(Tableau3[[#This Row],[avoir l''air '[look like'] per 10 min]:[visiblement '[visibly'] per 10 min]])</f>
        <v>1.3787278631198978</v>
      </c>
    </row>
    <row r="12" spans="1:24" x14ac:dyDescent="0.2">
      <c r="A12" s="3" t="s">
        <v>93</v>
      </c>
      <c r="C12">
        <v>3</v>
      </c>
      <c r="D12">
        <v>2</v>
      </c>
      <c r="E12">
        <v>1</v>
      </c>
      <c r="F12">
        <v>1</v>
      </c>
      <c r="K12">
        <f t="shared" si="0"/>
        <v>7</v>
      </c>
      <c r="L12">
        <f>_xlfn.XLOOKUP(Tableau3[[#This Row],[Personnes ontologiques]],'TEMPS PAROLE PERS_ONTO'!A:A,'TEMPS PAROLE PERS_ONTO'!B:B)</f>
        <v>749.33600000000001</v>
      </c>
      <c r="M12">
        <f>Tableau3[[#This Row],[AVOIR L''AIR]]/Tableau3[[#This Row],[Temps de parole total personnes ontologiques]]*600</f>
        <v>0</v>
      </c>
      <c r="N12">
        <f>Tableau3[[#This Row],[AVOIR L''IMPRESSION]]/Tableau3[[#This Row],[Temps de parole total personnes ontologiques]]*600</f>
        <v>2.4021266828231926</v>
      </c>
      <c r="O12">
        <f>Tableau3[[#This Row],[DONNER L''IMPRESSION]]/Tableau3[[#This Row],[Temps de parole total personnes ontologiques]]*600</f>
        <v>1.6014177885487952</v>
      </c>
      <c r="P12">
        <f>Tableau3[[#This Row],[PARAITRE]]/Tableau3[[#This Row],[Temps de parole total personnes ontologiques]]*600</f>
        <v>0.80070889427439762</v>
      </c>
      <c r="Q12">
        <f>Tableau3[[#This Row],[SEMBLER]]/Tableau3[[#This Row],[Temps de parole total personnes ontologiques]]*600</f>
        <v>0.80070889427439762</v>
      </c>
      <c r="R12">
        <f>Tableau3[[#This Row],[APPAREMMENT]]/Tableau3[[#This Row],[Temps de parole total personnes ontologiques]]*600</f>
        <v>0</v>
      </c>
      <c r="S12">
        <f>Tableau3[[#This Row],[EVIDEMMENT]]/Tableau3[[#This Row],[Temps de parole total personnes ontologiques]]*600</f>
        <v>0</v>
      </c>
      <c r="T12">
        <f>Tableau3[[#This Row],[MANIFESTEMENT]]/Tableau3[[#This Row],[Temps de parole total personnes ontologiques]]*600</f>
        <v>0</v>
      </c>
      <c r="U12">
        <f>Tableau3[[#This Row],[VISIBLEMENT]]/Tableau3[[#This Row],[Temps de parole total personnes ontologiques]]*600</f>
        <v>0</v>
      </c>
      <c r="V12">
        <f>SUM(Tableau3[[#This Row],[avoir l''air '[look like'] per 10 min]:[visiblement '[visibly'] per 10 min]])</f>
        <v>5.604962259920784</v>
      </c>
    </row>
    <row r="13" spans="1:24" x14ac:dyDescent="0.2">
      <c r="A13" s="3" t="s">
        <v>43</v>
      </c>
      <c r="E13">
        <v>2</v>
      </c>
      <c r="F13">
        <v>3</v>
      </c>
      <c r="H13">
        <v>2</v>
      </c>
      <c r="K13">
        <f t="shared" si="0"/>
        <v>7</v>
      </c>
      <c r="L13">
        <f>_xlfn.XLOOKUP(Tableau3[[#This Row],[Personnes ontologiques]],'TEMPS PAROLE PERS_ONTO'!A:A,'TEMPS PAROLE PERS_ONTO'!B:B)</f>
        <v>921.23900000000003</v>
      </c>
      <c r="M13">
        <f>Tableau3[[#This Row],[AVOIR L''AIR]]/Tableau3[[#This Row],[Temps de parole total personnes ontologiques]]*600</f>
        <v>0</v>
      </c>
      <c r="N13">
        <f>Tableau3[[#This Row],[AVOIR L''IMPRESSION]]/Tableau3[[#This Row],[Temps de parole total personnes ontologiques]]*600</f>
        <v>0</v>
      </c>
      <c r="O13">
        <f>Tableau3[[#This Row],[DONNER L''IMPRESSION]]/Tableau3[[#This Row],[Temps de parole total personnes ontologiques]]*600</f>
        <v>0</v>
      </c>
      <c r="P13">
        <f>Tableau3[[#This Row],[PARAITRE]]/Tableau3[[#This Row],[Temps de parole total personnes ontologiques]]*600</f>
        <v>1.3025935723520172</v>
      </c>
      <c r="Q13">
        <f>Tableau3[[#This Row],[SEMBLER]]/Tableau3[[#This Row],[Temps de parole total personnes ontologiques]]*600</f>
        <v>1.9538903585280256</v>
      </c>
      <c r="R13">
        <f>Tableau3[[#This Row],[APPAREMMENT]]/Tableau3[[#This Row],[Temps de parole total personnes ontologiques]]*600</f>
        <v>0</v>
      </c>
      <c r="S13">
        <f>Tableau3[[#This Row],[EVIDEMMENT]]/Tableau3[[#This Row],[Temps de parole total personnes ontologiques]]*600</f>
        <v>1.3025935723520172</v>
      </c>
      <c r="T13">
        <f>Tableau3[[#This Row],[MANIFESTEMENT]]/Tableau3[[#This Row],[Temps de parole total personnes ontologiques]]*600</f>
        <v>0</v>
      </c>
      <c r="U13">
        <f>Tableau3[[#This Row],[VISIBLEMENT]]/Tableau3[[#This Row],[Temps de parole total personnes ontologiques]]*600</f>
        <v>0</v>
      </c>
      <c r="V13">
        <f>SUM(Tableau3[[#This Row],[avoir l''air '[look like'] per 10 min]:[visiblement '[visibly'] per 10 min]])</f>
        <v>4.5590775032320598</v>
      </c>
    </row>
    <row r="14" spans="1:24" x14ac:dyDescent="0.2">
      <c r="A14" s="3" t="s">
        <v>157</v>
      </c>
      <c r="F14">
        <v>3</v>
      </c>
      <c r="H14">
        <v>3</v>
      </c>
      <c r="K14">
        <f t="shared" si="0"/>
        <v>6</v>
      </c>
      <c r="L14">
        <f>_xlfn.XLOOKUP(Tableau3[[#This Row],[Personnes ontologiques]],'TEMPS PAROLE PERS_ONTO'!A:A,'TEMPS PAROLE PERS_ONTO'!B:B)</f>
        <v>559.06100000000004</v>
      </c>
      <c r="M14">
        <f>Tableau3[[#This Row],[AVOIR L''AIR]]/Tableau3[[#This Row],[Temps de parole total personnes ontologiques]]*600</f>
        <v>0</v>
      </c>
      <c r="N14">
        <f>Tableau3[[#This Row],[AVOIR L''IMPRESSION]]/Tableau3[[#This Row],[Temps de parole total personnes ontologiques]]*600</f>
        <v>0</v>
      </c>
      <c r="O14">
        <f>Tableau3[[#This Row],[DONNER L''IMPRESSION]]/Tableau3[[#This Row],[Temps de parole total personnes ontologiques]]*600</f>
        <v>0</v>
      </c>
      <c r="P14">
        <f>Tableau3[[#This Row],[PARAITRE]]/Tableau3[[#This Row],[Temps de parole total personnes ontologiques]]*600</f>
        <v>0</v>
      </c>
      <c r="Q14">
        <f>Tableau3[[#This Row],[SEMBLER]]/Tableau3[[#This Row],[Temps de parole total personnes ontologiques]]*600</f>
        <v>3.2196844351510836</v>
      </c>
      <c r="R14">
        <f>Tableau3[[#This Row],[APPAREMMENT]]/Tableau3[[#This Row],[Temps de parole total personnes ontologiques]]*600</f>
        <v>0</v>
      </c>
      <c r="S14">
        <f>Tableau3[[#This Row],[EVIDEMMENT]]/Tableau3[[#This Row],[Temps de parole total personnes ontologiques]]*600</f>
        <v>3.2196844351510836</v>
      </c>
      <c r="T14">
        <f>Tableau3[[#This Row],[MANIFESTEMENT]]/Tableau3[[#This Row],[Temps de parole total personnes ontologiques]]*600</f>
        <v>0</v>
      </c>
      <c r="U14">
        <f>Tableau3[[#This Row],[VISIBLEMENT]]/Tableau3[[#This Row],[Temps de parole total personnes ontologiques]]*600</f>
        <v>0</v>
      </c>
      <c r="V14">
        <f>SUM(Tableau3[[#This Row],[avoir l''air '[look like'] per 10 min]:[visiblement '[visibly'] per 10 min]])</f>
        <v>6.4393688703021672</v>
      </c>
    </row>
    <row r="15" spans="1:24" x14ac:dyDescent="0.2">
      <c r="A15" s="3" t="s">
        <v>135</v>
      </c>
      <c r="F15">
        <v>3</v>
      </c>
      <c r="H15">
        <v>3</v>
      </c>
      <c r="K15">
        <f t="shared" si="0"/>
        <v>6</v>
      </c>
      <c r="L15">
        <f>_xlfn.XLOOKUP(Tableau3[[#This Row],[Personnes ontologiques]],'TEMPS PAROLE PERS_ONTO'!A:A,'TEMPS PAROLE PERS_ONTO'!B:B)</f>
        <v>1296.232</v>
      </c>
      <c r="M15">
        <f>Tableau3[[#This Row],[AVOIR L''AIR]]/Tableau3[[#This Row],[Temps de parole total personnes ontologiques]]*600</f>
        <v>0</v>
      </c>
      <c r="N15">
        <f>Tableau3[[#This Row],[AVOIR L''IMPRESSION]]/Tableau3[[#This Row],[Temps de parole total personnes ontologiques]]*600</f>
        <v>0</v>
      </c>
      <c r="O15">
        <f>Tableau3[[#This Row],[DONNER L''IMPRESSION]]/Tableau3[[#This Row],[Temps de parole total personnes ontologiques]]*600</f>
        <v>0</v>
      </c>
      <c r="P15">
        <f>Tableau3[[#This Row],[PARAITRE]]/Tableau3[[#This Row],[Temps de parole total personnes ontologiques]]*600</f>
        <v>0</v>
      </c>
      <c r="Q15">
        <f>Tableau3[[#This Row],[SEMBLER]]/Tableau3[[#This Row],[Temps de parole total personnes ontologiques]]*600</f>
        <v>1.3886403051305631</v>
      </c>
      <c r="R15">
        <f>Tableau3[[#This Row],[APPAREMMENT]]/Tableau3[[#This Row],[Temps de parole total personnes ontologiques]]*600</f>
        <v>0</v>
      </c>
      <c r="S15">
        <f>Tableau3[[#This Row],[EVIDEMMENT]]/Tableau3[[#This Row],[Temps de parole total personnes ontologiques]]*600</f>
        <v>1.3886403051305631</v>
      </c>
      <c r="T15">
        <f>Tableau3[[#This Row],[MANIFESTEMENT]]/Tableau3[[#This Row],[Temps de parole total personnes ontologiques]]*600</f>
        <v>0</v>
      </c>
      <c r="U15">
        <f>Tableau3[[#This Row],[VISIBLEMENT]]/Tableau3[[#This Row],[Temps de parole total personnes ontologiques]]*600</f>
        <v>0</v>
      </c>
      <c r="V15">
        <f>SUM(Tableau3[[#This Row],[avoir l''air '[look like'] per 10 min]:[visiblement '[visibly'] per 10 min]])</f>
        <v>2.7772806102611263</v>
      </c>
    </row>
    <row r="16" spans="1:24" x14ac:dyDescent="0.2">
      <c r="A16" s="3" t="s">
        <v>64</v>
      </c>
      <c r="B16">
        <v>1</v>
      </c>
      <c r="E16">
        <v>1</v>
      </c>
      <c r="F16">
        <v>2</v>
      </c>
      <c r="H16">
        <v>2</v>
      </c>
      <c r="K16">
        <f t="shared" si="0"/>
        <v>6</v>
      </c>
      <c r="L16">
        <f>_xlfn.XLOOKUP(Tableau3[[#This Row],[Personnes ontologiques]],'TEMPS PAROLE PERS_ONTO'!A:A,'TEMPS PAROLE PERS_ONTO'!B:B)</f>
        <v>1557.9259999999999</v>
      </c>
      <c r="M16">
        <f>Tableau3[[#This Row],[AVOIR L''AIR]]/Tableau3[[#This Row],[Temps de parole total personnes ontologiques]]*600</f>
        <v>0.38512740656488181</v>
      </c>
      <c r="N16">
        <f>Tableau3[[#This Row],[AVOIR L''IMPRESSION]]/Tableau3[[#This Row],[Temps de parole total personnes ontologiques]]*600</f>
        <v>0</v>
      </c>
      <c r="O16">
        <f>Tableau3[[#This Row],[DONNER L''IMPRESSION]]/Tableau3[[#This Row],[Temps de parole total personnes ontologiques]]*600</f>
        <v>0</v>
      </c>
      <c r="P16">
        <f>Tableau3[[#This Row],[PARAITRE]]/Tableau3[[#This Row],[Temps de parole total personnes ontologiques]]*600</f>
        <v>0.38512740656488181</v>
      </c>
      <c r="Q16">
        <f>Tableau3[[#This Row],[SEMBLER]]/Tableau3[[#This Row],[Temps de parole total personnes ontologiques]]*600</f>
        <v>0.77025481312976363</v>
      </c>
      <c r="R16">
        <f>Tableau3[[#This Row],[APPAREMMENT]]/Tableau3[[#This Row],[Temps de parole total personnes ontologiques]]*600</f>
        <v>0</v>
      </c>
      <c r="S16">
        <f>Tableau3[[#This Row],[EVIDEMMENT]]/Tableau3[[#This Row],[Temps de parole total personnes ontologiques]]*600</f>
        <v>0.77025481312976363</v>
      </c>
      <c r="T16">
        <f>Tableau3[[#This Row],[MANIFESTEMENT]]/Tableau3[[#This Row],[Temps de parole total personnes ontologiques]]*600</f>
        <v>0</v>
      </c>
      <c r="U16">
        <f>Tableau3[[#This Row],[VISIBLEMENT]]/Tableau3[[#This Row],[Temps de parole total personnes ontologiques]]*600</f>
        <v>0</v>
      </c>
      <c r="V16">
        <f>SUM(Tableau3[[#This Row],[avoir l''air '[look like'] per 10 min]:[visiblement '[visibly'] per 10 min]])</f>
        <v>2.310764439389291</v>
      </c>
    </row>
    <row r="17" spans="1:22" x14ac:dyDescent="0.2">
      <c r="A17" s="3" t="s">
        <v>105</v>
      </c>
      <c r="C17">
        <v>3</v>
      </c>
      <c r="F17">
        <v>1</v>
      </c>
      <c r="G17">
        <v>1</v>
      </c>
      <c r="H17">
        <v>1</v>
      </c>
      <c r="K17">
        <f t="shared" si="0"/>
        <v>6</v>
      </c>
      <c r="L17">
        <f>_xlfn.XLOOKUP(Tableau3[[#This Row],[Personnes ontologiques]],'TEMPS PAROLE PERS_ONTO'!A:A,'TEMPS PAROLE PERS_ONTO'!B:B)</f>
        <v>2014.8309999999999</v>
      </c>
      <c r="M17">
        <f>Tableau3[[#This Row],[AVOIR L''AIR]]/Tableau3[[#This Row],[Temps de parole total personnes ontologiques]]*600</f>
        <v>0</v>
      </c>
      <c r="N17">
        <f>Tableau3[[#This Row],[AVOIR L''IMPRESSION]]/Tableau3[[#This Row],[Temps de parole total personnes ontologiques]]*600</f>
        <v>0.89337517637955743</v>
      </c>
      <c r="O17">
        <f>Tableau3[[#This Row],[DONNER L''IMPRESSION]]/Tableau3[[#This Row],[Temps de parole total personnes ontologiques]]*600</f>
        <v>0</v>
      </c>
      <c r="P17">
        <f>Tableau3[[#This Row],[PARAITRE]]/Tableau3[[#This Row],[Temps de parole total personnes ontologiques]]*600</f>
        <v>0</v>
      </c>
      <c r="Q17">
        <f>Tableau3[[#This Row],[SEMBLER]]/Tableau3[[#This Row],[Temps de parole total personnes ontologiques]]*600</f>
        <v>0.29779172545985244</v>
      </c>
      <c r="R17">
        <f>Tableau3[[#This Row],[APPAREMMENT]]/Tableau3[[#This Row],[Temps de parole total personnes ontologiques]]*600</f>
        <v>0.29779172545985244</v>
      </c>
      <c r="S17">
        <f>Tableau3[[#This Row],[EVIDEMMENT]]/Tableau3[[#This Row],[Temps de parole total personnes ontologiques]]*600</f>
        <v>0.29779172545985244</v>
      </c>
      <c r="T17">
        <f>Tableau3[[#This Row],[MANIFESTEMENT]]/Tableau3[[#This Row],[Temps de parole total personnes ontologiques]]*600</f>
        <v>0</v>
      </c>
      <c r="U17">
        <f>Tableau3[[#This Row],[VISIBLEMENT]]/Tableau3[[#This Row],[Temps de parole total personnes ontologiques]]*600</f>
        <v>0</v>
      </c>
      <c r="V17">
        <f>SUM(Tableau3[[#This Row],[avoir l''air '[look like'] per 10 min]:[visiblement '[visibly'] per 10 min]])</f>
        <v>1.7867503527591144</v>
      </c>
    </row>
    <row r="18" spans="1:22" x14ac:dyDescent="0.2">
      <c r="A18" s="3" t="s">
        <v>65</v>
      </c>
      <c r="H18">
        <v>5</v>
      </c>
      <c r="K18">
        <f t="shared" si="0"/>
        <v>5</v>
      </c>
      <c r="L18">
        <f>_xlfn.XLOOKUP(Tableau3[[#This Row],[Personnes ontologiques]],'TEMPS PAROLE PERS_ONTO'!A:A,'TEMPS PAROLE PERS_ONTO'!B:B)</f>
        <v>622.93200000000002</v>
      </c>
      <c r="M18">
        <f>Tableau3[[#This Row],[AVOIR L''AIR]]/Tableau3[[#This Row],[Temps de parole total personnes ontologiques]]*600</f>
        <v>0</v>
      </c>
      <c r="N18">
        <f>Tableau3[[#This Row],[AVOIR L''IMPRESSION]]/Tableau3[[#This Row],[Temps de parole total personnes ontologiques]]*600</f>
        <v>0</v>
      </c>
      <c r="O18">
        <f>Tableau3[[#This Row],[DONNER L''IMPRESSION]]/Tableau3[[#This Row],[Temps de parole total personnes ontologiques]]*600</f>
        <v>0</v>
      </c>
      <c r="P18">
        <f>Tableau3[[#This Row],[PARAITRE]]/Tableau3[[#This Row],[Temps de parole total personnes ontologiques]]*600</f>
        <v>0</v>
      </c>
      <c r="Q18">
        <f>Tableau3[[#This Row],[SEMBLER]]/Tableau3[[#This Row],[Temps de parole total personnes ontologiques]]*600</f>
        <v>0</v>
      </c>
      <c r="R18">
        <f>Tableau3[[#This Row],[APPAREMMENT]]/Tableau3[[#This Row],[Temps de parole total personnes ontologiques]]*600</f>
        <v>0</v>
      </c>
      <c r="S18">
        <f>Tableau3[[#This Row],[EVIDEMMENT]]/Tableau3[[#This Row],[Temps de parole total personnes ontologiques]]*600</f>
        <v>4.8159349656142245</v>
      </c>
      <c r="T18">
        <f>Tableau3[[#This Row],[MANIFESTEMENT]]/Tableau3[[#This Row],[Temps de parole total personnes ontologiques]]*600</f>
        <v>0</v>
      </c>
      <c r="U18">
        <f>Tableau3[[#This Row],[VISIBLEMENT]]/Tableau3[[#This Row],[Temps de parole total personnes ontologiques]]*600</f>
        <v>0</v>
      </c>
      <c r="V18">
        <f>SUM(Tableau3[[#This Row],[avoir l''air '[look like'] per 10 min]:[visiblement '[visibly'] per 10 min]])</f>
        <v>4.8159349656142245</v>
      </c>
    </row>
    <row r="19" spans="1:22" x14ac:dyDescent="0.2">
      <c r="A19" s="3" t="s">
        <v>48</v>
      </c>
      <c r="E19">
        <v>2</v>
      </c>
      <c r="F19">
        <v>1</v>
      </c>
      <c r="H19">
        <v>2</v>
      </c>
      <c r="K19">
        <f t="shared" si="0"/>
        <v>5</v>
      </c>
      <c r="L19">
        <f>_xlfn.XLOOKUP(Tableau3[[#This Row],[Personnes ontologiques]],'TEMPS PAROLE PERS_ONTO'!A:A,'TEMPS PAROLE PERS_ONTO'!B:B)</f>
        <v>706.59199999999998</v>
      </c>
      <c r="M19">
        <f>Tableau3[[#This Row],[AVOIR L''AIR]]/Tableau3[[#This Row],[Temps de parole total personnes ontologiques]]*600</f>
        <v>0</v>
      </c>
      <c r="N19">
        <f>Tableau3[[#This Row],[AVOIR L''IMPRESSION]]/Tableau3[[#This Row],[Temps de parole total personnes ontologiques]]*600</f>
        <v>0</v>
      </c>
      <c r="O19">
        <f>Tableau3[[#This Row],[DONNER L''IMPRESSION]]/Tableau3[[#This Row],[Temps de parole total personnes ontologiques]]*600</f>
        <v>0</v>
      </c>
      <c r="P19">
        <f>Tableau3[[#This Row],[PARAITRE]]/Tableau3[[#This Row],[Temps de parole total personnes ontologiques]]*600</f>
        <v>1.6982926497894117</v>
      </c>
      <c r="Q19">
        <f>Tableau3[[#This Row],[SEMBLER]]/Tableau3[[#This Row],[Temps de parole total personnes ontologiques]]*600</f>
        <v>0.84914632489470587</v>
      </c>
      <c r="R19">
        <f>Tableau3[[#This Row],[APPAREMMENT]]/Tableau3[[#This Row],[Temps de parole total personnes ontologiques]]*600</f>
        <v>0</v>
      </c>
      <c r="S19">
        <f>Tableau3[[#This Row],[EVIDEMMENT]]/Tableau3[[#This Row],[Temps de parole total personnes ontologiques]]*600</f>
        <v>1.6982926497894117</v>
      </c>
      <c r="T19">
        <f>Tableau3[[#This Row],[MANIFESTEMENT]]/Tableau3[[#This Row],[Temps de parole total personnes ontologiques]]*600</f>
        <v>0</v>
      </c>
      <c r="U19">
        <f>Tableau3[[#This Row],[VISIBLEMENT]]/Tableau3[[#This Row],[Temps de parole total personnes ontologiques]]*600</f>
        <v>0</v>
      </c>
      <c r="V19">
        <f>SUM(Tableau3[[#This Row],[avoir l''air '[look like'] per 10 min]:[visiblement '[visibly'] per 10 min]])</f>
        <v>4.245731624473529</v>
      </c>
    </row>
    <row r="20" spans="1:22" x14ac:dyDescent="0.2">
      <c r="A20" s="3" t="s">
        <v>52</v>
      </c>
      <c r="E20">
        <v>1</v>
      </c>
      <c r="H20">
        <v>4</v>
      </c>
      <c r="K20">
        <f t="shared" si="0"/>
        <v>5</v>
      </c>
      <c r="L20">
        <f>_xlfn.XLOOKUP(Tableau3[[#This Row],[Personnes ontologiques]],'TEMPS PAROLE PERS_ONTO'!A:A,'TEMPS PAROLE PERS_ONTO'!B:B)</f>
        <v>962.48199999999997</v>
      </c>
      <c r="M20">
        <f>Tableau3[[#This Row],[AVOIR L''AIR]]/Tableau3[[#This Row],[Temps de parole total personnes ontologiques]]*600</f>
        <v>0</v>
      </c>
      <c r="N20">
        <f>Tableau3[[#This Row],[AVOIR L''IMPRESSION]]/Tableau3[[#This Row],[Temps de parole total personnes ontologiques]]*600</f>
        <v>0</v>
      </c>
      <c r="O20">
        <f>Tableau3[[#This Row],[DONNER L''IMPRESSION]]/Tableau3[[#This Row],[Temps de parole total personnes ontologiques]]*600</f>
        <v>0</v>
      </c>
      <c r="P20">
        <f>Tableau3[[#This Row],[PARAITRE]]/Tableau3[[#This Row],[Temps de parole total personnes ontologiques]]*600</f>
        <v>0.62338828154708348</v>
      </c>
      <c r="Q20">
        <f>Tableau3[[#This Row],[SEMBLER]]/Tableau3[[#This Row],[Temps de parole total personnes ontologiques]]*600</f>
        <v>0</v>
      </c>
      <c r="R20">
        <f>Tableau3[[#This Row],[APPAREMMENT]]/Tableau3[[#This Row],[Temps de parole total personnes ontologiques]]*600</f>
        <v>0</v>
      </c>
      <c r="S20">
        <f>Tableau3[[#This Row],[EVIDEMMENT]]/Tableau3[[#This Row],[Temps de parole total personnes ontologiques]]*600</f>
        <v>2.4935531261883339</v>
      </c>
      <c r="T20">
        <f>Tableau3[[#This Row],[MANIFESTEMENT]]/Tableau3[[#This Row],[Temps de parole total personnes ontologiques]]*600</f>
        <v>0</v>
      </c>
      <c r="U20">
        <f>Tableau3[[#This Row],[VISIBLEMENT]]/Tableau3[[#This Row],[Temps de parole total personnes ontologiques]]*600</f>
        <v>0</v>
      </c>
      <c r="V20">
        <f>SUM(Tableau3[[#This Row],[avoir l''air '[look like'] per 10 min]:[visiblement '[visibly'] per 10 min]])</f>
        <v>3.1169414077354176</v>
      </c>
    </row>
    <row r="21" spans="1:22" x14ac:dyDescent="0.2">
      <c r="A21" s="3" t="s">
        <v>75</v>
      </c>
      <c r="F21">
        <v>2</v>
      </c>
      <c r="H21">
        <v>2</v>
      </c>
      <c r="I21">
        <v>1</v>
      </c>
      <c r="K21">
        <f t="shared" si="0"/>
        <v>5</v>
      </c>
      <c r="L21">
        <f>_xlfn.XLOOKUP(Tableau3[[#This Row],[Personnes ontologiques]],'TEMPS PAROLE PERS_ONTO'!A:A,'TEMPS PAROLE PERS_ONTO'!B:B)</f>
        <v>1015.734</v>
      </c>
      <c r="M21">
        <f>Tableau3[[#This Row],[AVOIR L''AIR]]/Tableau3[[#This Row],[Temps de parole total personnes ontologiques]]*600</f>
        <v>0</v>
      </c>
      <c r="N21">
        <f>Tableau3[[#This Row],[AVOIR L''IMPRESSION]]/Tableau3[[#This Row],[Temps de parole total personnes ontologiques]]*600</f>
        <v>0</v>
      </c>
      <c r="O21">
        <f>Tableau3[[#This Row],[DONNER L''IMPRESSION]]/Tableau3[[#This Row],[Temps de parole total personnes ontologiques]]*600</f>
        <v>0</v>
      </c>
      <c r="P21">
        <f>Tableau3[[#This Row],[PARAITRE]]/Tableau3[[#This Row],[Temps de parole total personnes ontologiques]]*600</f>
        <v>0</v>
      </c>
      <c r="Q21">
        <f>Tableau3[[#This Row],[SEMBLER]]/Tableau3[[#This Row],[Temps de parole total personnes ontologiques]]*600</f>
        <v>1.1814116688030527</v>
      </c>
      <c r="R21">
        <f>Tableau3[[#This Row],[APPAREMMENT]]/Tableau3[[#This Row],[Temps de parole total personnes ontologiques]]*600</f>
        <v>0</v>
      </c>
      <c r="S21">
        <f>Tableau3[[#This Row],[EVIDEMMENT]]/Tableau3[[#This Row],[Temps de parole total personnes ontologiques]]*600</f>
        <v>1.1814116688030527</v>
      </c>
      <c r="T21">
        <f>Tableau3[[#This Row],[MANIFESTEMENT]]/Tableau3[[#This Row],[Temps de parole total personnes ontologiques]]*600</f>
        <v>0.59070583440152635</v>
      </c>
      <c r="U21">
        <f>Tableau3[[#This Row],[VISIBLEMENT]]/Tableau3[[#This Row],[Temps de parole total personnes ontologiques]]*600</f>
        <v>0</v>
      </c>
      <c r="V21">
        <f>SUM(Tableau3[[#This Row],[avoir l''air '[look like'] per 10 min]:[visiblement '[visibly'] per 10 min]])</f>
        <v>2.9535291720076318</v>
      </c>
    </row>
    <row r="22" spans="1:22" x14ac:dyDescent="0.2">
      <c r="A22" s="3" t="s">
        <v>122</v>
      </c>
      <c r="F22">
        <v>5</v>
      </c>
      <c r="K22">
        <f t="shared" si="0"/>
        <v>5</v>
      </c>
      <c r="L22">
        <f>_xlfn.XLOOKUP(Tableau3[[#This Row],[Personnes ontologiques]],'TEMPS PAROLE PERS_ONTO'!A:A,'TEMPS PAROLE PERS_ONTO'!B:B)</f>
        <v>1503.8620000000001</v>
      </c>
      <c r="M22">
        <f>Tableau3[[#This Row],[AVOIR L''AIR]]/Tableau3[[#This Row],[Temps de parole total personnes ontologiques]]*600</f>
        <v>0</v>
      </c>
      <c r="N22">
        <f>Tableau3[[#This Row],[AVOIR L''IMPRESSION]]/Tableau3[[#This Row],[Temps de parole total personnes ontologiques]]*600</f>
        <v>0</v>
      </c>
      <c r="O22">
        <f>Tableau3[[#This Row],[DONNER L''IMPRESSION]]/Tableau3[[#This Row],[Temps de parole total personnes ontologiques]]*600</f>
        <v>0</v>
      </c>
      <c r="P22">
        <f>Tableau3[[#This Row],[PARAITRE]]/Tableau3[[#This Row],[Temps de parole total personnes ontologiques]]*600</f>
        <v>0</v>
      </c>
      <c r="Q22">
        <f>Tableau3[[#This Row],[SEMBLER]]/Tableau3[[#This Row],[Temps de parole total personnes ontologiques]]*600</f>
        <v>1.9948638904367555</v>
      </c>
      <c r="R22">
        <f>Tableau3[[#This Row],[APPAREMMENT]]/Tableau3[[#This Row],[Temps de parole total personnes ontologiques]]*600</f>
        <v>0</v>
      </c>
      <c r="S22">
        <f>Tableau3[[#This Row],[EVIDEMMENT]]/Tableau3[[#This Row],[Temps de parole total personnes ontologiques]]*600</f>
        <v>0</v>
      </c>
      <c r="T22">
        <f>Tableau3[[#This Row],[MANIFESTEMENT]]/Tableau3[[#This Row],[Temps de parole total personnes ontologiques]]*600</f>
        <v>0</v>
      </c>
      <c r="U22">
        <f>Tableau3[[#This Row],[VISIBLEMENT]]/Tableau3[[#This Row],[Temps de parole total personnes ontologiques]]*600</f>
        <v>0</v>
      </c>
      <c r="V22">
        <f>SUM(Tableau3[[#This Row],[avoir l''air '[look like'] per 10 min]:[visiblement '[visibly'] per 10 min]])</f>
        <v>1.9948638904367555</v>
      </c>
    </row>
    <row r="23" spans="1:22" x14ac:dyDescent="0.2">
      <c r="A23" s="3" t="s">
        <v>100</v>
      </c>
      <c r="C23">
        <v>2</v>
      </c>
      <c r="F23">
        <v>3</v>
      </c>
      <c r="K23">
        <f t="shared" si="0"/>
        <v>5</v>
      </c>
      <c r="L23">
        <f>_xlfn.XLOOKUP(Tableau3[[#This Row],[Personnes ontologiques]],'TEMPS PAROLE PERS_ONTO'!A:A,'TEMPS PAROLE PERS_ONTO'!B:B)</f>
        <v>4526.9009999999998</v>
      </c>
      <c r="M23">
        <f>Tableau3[[#This Row],[AVOIR L''AIR]]/Tableau3[[#This Row],[Temps de parole total personnes ontologiques]]*600</f>
        <v>0</v>
      </c>
      <c r="N23">
        <f>Tableau3[[#This Row],[AVOIR L''IMPRESSION]]/Tableau3[[#This Row],[Temps de parole total personnes ontologiques]]*600</f>
        <v>0.26508200643221491</v>
      </c>
      <c r="O23">
        <f>Tableau3[[#This Row],[DONNER L''IMPRESSION]]/Tableau3[[#This Row],[Temps de parole total personnes ontologiques]]*600</f>
        <v>0</v>
      </c>
      <c r="P23">
        <f>Tableau3[[#This Row],[PARAITRE]]/Tableau3[[#This Row],[Temps de parole total personnes ontologiques]]*600</f>
        <v>0</v>
      </c>
      <c r="Q23">
        <f>Tableau3[[#This Row],[SEMBLER]]/Tableau3[[#This Row],[Temps de parole total personnes ontologiques]]*600</f>
        <v>0.39762300964832237</v>
      </c>
      <c r="R23">
        <f>Tableau3[[#This Row],[APPAREMMENT]]/Tableau3[[#This Row],[Temps de parole total personnes ontologiques]]*600</f>
        <v>0</v>
      </c>
      <c r="S23">
        <f>Tableau3[[#This Row],[EVIDEMMENT]]/Tableau3[[#This Row],[Temps de parole total personnes ontologiques]]*600</f>
        <v>0</v>
      </c>
      <c r="T23">
        <f>Tableau3[[#This Row],[MANIFESTEMENT]]/Tableau3[[#This Row],[Temps de parole total personnes ontologiques]]*600</f>
        <v>0</v>
      </c>
      <c r="U23">
        <f>Tableau3[[#This Row],[VISIBLEMENT]]/Tableau3[[#This Row],[Temps de parole total personnes ontologiques]]*600</f>
        <v>0</v>
      </c>
      <c r="V23">
        <f>SUM(Tableau3[[#This Row],[avoir l''air '[look like'] per 10 min]:[visiblement '[visibly'] per 10 min]])</f>
        <v>0.66270501608053722</v>
      </c>
    </row>
    <row r="24" spans="1:22" x14ac:dyDescent="0.2">
      <c r="A24" s="3" t="s">
        <v>119</v>
      </c>
      <c r="F24">
        <v>1</v>
      </c>
      <c r="H24">
        <v>3</v>
      </c>
      <c r="K24">
        <f t="shared" si="0"/>
        <v>4</v>
      </c>
      <c r="L24">
        <f>_xlfn.XLOOKUP(Tableau3[[#This Row],[Personnes ontologiques]],'TEMPS PAROLE PERS_ONTO'!A:A,'TEMPS PAROLE PERS_ONTO'!B:B)</f>
        <v>250.108</v>
      </c>
      <c r="M24">
        <f>Tableau3[[#This Row],[AVOIR L''AIR]]/Tableau3[[#This Row],[Temps de parole total personnes ontologiques]]*600</f>
        <v>0</v>
      </c>
      <c r="N24">
        <f>Tableau3[[#This Row],[AVOIR L''IMPRESSION]]/Tableau3[[#This Row],[Temps de parole total personnes ontologiques]]*600</f>
        <v>0</v>
      </c>
      <c r="O24">
        <f>Tableau3[[#This Row],[DONNER L''IMPRESSION]]/Tableau3[[#This Row],[Temps de parole total personnes ontologiques]]*600</f>
        <v>0</v>
      </c>
      <c r="P24">
        <f>Tableau3[[#This Row],[PARAITRE]]/Tableau3[[#This Row],[Temps de parole total personnes ontologiques]]*600</f>
        <v>0</v>
      </c>
      <c r="Q24">
        <f>Tableau3[[#This Row],[SEMBLER]]/Tableau3[[#This Row],[Temps de parole total personnes ontologiques]]*600</f>
        <v>2.3989636477041918</v>
      </c>
      <c r="R24">
        <f>Tableau3[[#This Row],[APPAREMMENT]]/Tableau3[[#This Row],[Temps de parole total personnes ontologiques]]*600</f>
        <v>0</v>
      </c>
      <c r="S24">
        <f>Tableau3[[#This Row],[EVIDEMMENT]]/Tableau3[[#This Row],[Temps de parole total personnes ontologiques]]*600</f>
        <v>7.1968909431125754</v>
      </c>
      <c r="T24">
        <f>Tableau3[[#This Row],[MANIFESTEMENT]]/Tableau3[[#This Row],[Temps de parole total personnes ontologiques]]*600</f>
        <v>0</v>
      </c>
      <c r="U24">
        <f>Tableau3[[#This Row],[VISIBLEMENT]]/Tableau3[[#This Row],[Temps de parole total personnes ontologiques]]*600</f>
        <v>0</v>
      </c>
      <c r="V24">
        <f>SUM(Tableau3[[#This Row],[avoir l''air '[look like'] per 10 min]:[visiblement '[visibly'] per 10 min]])</f>
        <v>9.5958545908167672</v>
      </c>
    </row>
    <row r="25" spans="1:22" x14ac:dyDescent="0.2">
      <c r="A25" s="3" t="s">
        <v>126</v>
      </c>
      <c r="C25">
        <v>1</v>
      </c>
      <c r="F25">
        <v>2</v>
      </c>
      <c r="G25">
        <v>1</v>
      </c>
      <c r="K25">
        <f t="shared" si="0"/>
        <v>4</v>
      </c>
      <c r="L25">
        <f>_xlfn.XLOOKUP(Tableau3[[#This Row],[Personnes ontologiques]],'TEMPS PAROLE PERS_ONTO'!A:A,'TEMPS PAROLE PERS_ONTO'!B:B)</f>
        <v>359.83199999999999</v>
      </c>
      <c r="M25">
        <f>Tableau3[[#This Row],[AVOIR L''AIR]]/Tableau3[[#This Row],[Temps de parole total personnes ontologiques]]*600</f>
        <v>0</v>
      </c>
      <c r="N25">
        <f>Tableau3[[#This Row],[AVOIR L''IMPRESSION]]/Tableau3[[#This Row],[Temps de parole total personnes ontologiques]]*600</f>
        <v>1.6674448075768693</v>
      </c>
      <c r="O25">
        <f>Tableau3[[#This Row],[DONNER L''IMPRESSION]]/Tableau3[[#This Row],[Temps de parole total personnes ontologiques]]*600</f>
        <v>0</v>
      </c>
      <c r="P25">
        <f>Tableau3[[#This Row],[PARAITRE]]/Tableau3[[#This Row],[Temps de parole total personnes ontologiques]]*600</f>
        <v>0</v>
      </c>
      <c r="Q25">
        <f>Tableau3[[#This Row],[SEMBLER]]/Tableau3[[#This Row],[Temps de parole total personnes ontologiques]]*600</f>
        <v>3.3348896151537386</v>
      </c>
      <c r="R25">
        <f>Tableau3[[#This Row],[APPAREMMENT]]/Tableau3[[#This Row],[Temps de parole total personnes ontologiques]]*600</f>
        <v>1.6674448075768693</v>
      </c>
      <c r="S25">
        <f>Tableau3[[#This Row],[EVIDEMMENT]]/Tableau3[[#This Row],[Temps de parole total personnes ontologiques]]*600</f>
        <v>0</v>
      </c>
      <c r="T25">
        <f>Tableau3[[#This Row],[MANIFESTEMENT]]/Tableau3[[#This Row],[Temps de parole total personnes ontologiques]]*600</f>
        <v>0</v>
      </c>
      <c r="U25">
        <f>Tableau3[[#This Row],[VISIBLEMENT]]/Tableau3[[#This Row],[Temps de parole total personnes ontologiques]]*600</f>
        <v>0</v>
      </c>
      <c r="V25">
        <f>SUM(Tableau3[[#This Row],[avoir l''air '[look like'] per 10 min]:[visiblement '[visibly'] per 10 min]])</f>
        <v>6.6697792303074772</v>
      </c>
    </row>
    <row r="26" spans="1:22" x14ac:dyDescent="0.2">
      <c r="A26" s="3" t="s">
        <v>204</v>
      </c>
      <c r="H26">
        <v>4</v>
      </c>
      <c r="K26">
        <f t="shared" si="0"/>
        <v>4</v>
      </c>
      <c r="L26">
        <f>_xlfn.XLOOKUP(Tableau3[[#This Row],[Personnes ontologiques]],'TEMPS PAROLE PERS_ONTO'!A:A,'TEMPS PAROLE PERS_ONTO'!B:B)</f>
        <v>464.11700000000002</v>
      </c>
      <c r="M26">
        <f>Tableau3[[#This Row],[AVOIR L''AIR]]/Tableau3[[#This Row],[Temps de parole total personnes ontologiques]]*600</f>
        <v>0</v>
      </c>
      <c r="N26">
        <f>Tableau3[[#This Row],[AVOIR L''IMPRESSION]]/Tableau3[[#This Row],[Temps de parole total personnes ontologiques]]*600</f>
        <v>0</v>
      </c>
      <c r="O26">
        <f>Tableau3[[#This Row],[DONNER L''IMPRESSION]]/Tableau3[[#This Row],[Temps de parole total personnes ontologiques]]*600</f>
        <v>0</v>
      </c>
      <c r="P26">
        <f>Tableau3[[#This Row],[PARAITRE]]/Tableau3[[#This Row],[Temps de parole total personnes ontologiques]]*600</f>
        <v>0</v>
      </c>
      <c r="Q26">
        <f>Tableau3[[#This Row],[SEMBLER]]/Tableau3[[#This Row],[Temps de parole total personnes ontologiques]]*600</f>
        <v>0</v>
      </c>
      <c r="R26">
        <f>Tableau3[[#This Row],[APPAREMMENT]]/Tableau3[[#This Row],[Temps de parole total personnes ontologiques]]*600</f>
        <v>0</v>
      </c>
      <c r="S26">
        <f>Tableau3[[#This Row],[EVIDEMMENT]]/Tableau3[[#This Row],[Temps de parole total personnes ontologiques]]*600</f>
        <v>5.1711098710023551</v>
      </c>
      <c r="T26">
        <f>Tableau3[[#This Row],[MANIFESTEMENT]]/Tableau3[[#This Row],[Temps de parole total personnes ontologiques]]*600</f>
        <v>0</v>
      </c>
      <c r="U26">
        <f>Tableau3[[#This Row],[VISIBLEMENT]]/Tableau3[[#This Row],[Temps de parole total personnes ontologiques]]*600</f>
        <v>0</v>
      </c>
      <c r="V26">
        <f>SUM(Tableau3[[#This Row],[avoir l''air '[look like'] per 10 min]:[visiblement '[visibly'] per 10 min]])</f>
        <v>5.1711098710023551</v>
      </c>
    </row>
    <row r="27" spans="1:22" x14ac:dyDescent="0.2">
      <c r="A27" s="3" t="s">
        <v>196</v>
      </c>
      <c r="H27">
        <v>4</v>
      </c>
      <c r="K27">
        <f t="shared" si="0"/>
        <v>4</v>
      </c>
      <c r="L27">
        <f>_xlfn.XLOOKUP(Tableau3[[#This Row],[Personnes ontologiques]],'TEMPS PAROLE PERS_ONTO'!A:A,'TEMPS PAROLE PERS_ONTO'!B:B)</f>
        <v>485.637</v>
      </c>
      <c r="M27">
        <f>Tableau3[[#This Row],[AVOIR L''AIR]]/Tableau3[[#This Row],[Temps de parole total personnes ontologiques]]*600</f>
        <v>0</v>
      </c>
      <c r="N27">
        <f>Tableau3[[#This Row],[AVOIR L''IMPRESSION]]/Tableau3[[#This Row],[Temps de parole total personnes ontologiques]]*600</f>
        <v>0</v>
      </c>
      <c r="O27">
        <f>Tableau3[[#This Row],[DONNER L''IMPRESSION]]/Tableau3[[#This Row],[Temps de parole total personnes ontologiques]]*600</f>
        <v>0</v>
      </c>
      <c r="P27">
        <f>Tableau3[[#This Row],[PARAITRE]]/Tableau3[[#This Row],[Temps de parole total personnes ontologiques]]*600</f>
        <v>0</v>
      </c>
      <c r="Q27">
        <f>Tableau3[[#This Row],[SEMBLER]]/Tableau3[[#This Row],[Temps de parole total personnes ontologiques]]*600</f>
        <v>0</v>
      </c>
      <c r="R27">
        <f>Tableau3[[#This Row],[APPAREMMENT]]/Tableau3[[#This Row],[Temps de parole total personnes ontologiques]]*600</f>
        <v>0</v>
      </c>
      <c r="S27">
        <f>Tableau3[[#This Row],[EVIDEMMENT]]/Tableau3[[#This Row],[Temps de parole total personnes ontologiques]]*600</f>
        <v>4.9419628240846558</v>
      </c>
      <c r="T27">
        <f>Tableau3[[#This Row],[MANIFESTEMENT]]/Tableau3[[#This Row],[Temps de parole total personnes ontologiques]]*600</f>
        <v>0</v>
      </c>
      <c r="U27">
        <f>Tableau3[[#This Row],[VISIBLEMENT]]/Tableau3[[#This Row],[Temps de parole total personnes ontologiques]]*600</f>
        <v>0</v>
      </c>
      <c r="V27">
        <f>SUM(Tableau3[[#This Row],[avoir l''air '[look like'] per 10 min]:[visiblement '[visibly'] per 10 min]])</f>
        <v>4.9419628240846558</v>
      </c>
    </row>
    <row r="28" spans="1:22" x14ac:dyDescent="0.2">
      <c r="A28" s="3" t="s">
        <v>133</v>
      </c>
      <c r="F28">
        <v>3</v>
      </c>
      <c r="H28">
        <v>1</v>
      </c>
      <c r="K28">
        <f t="shared" si="0"/>
        <v>4</v>
      </c>
      <c r="L28">
        <f>_xlfn.XLOOKUP(Tableau3[[#This Row],[Personnes ontologiques]],'TEMPS PAROLE PERS_ONTO'!A:A,'TEMPS PAROLE PERS_ONTO'!B:B)</f>
        <v>661.13499999999999</v>
      </c>
      <c r="M28">
        <f>Tableau3[[#This Row],[AVOIR L''AIR]]/Tableau3[[#This Row],[Temps de parole total personnes ontologiques]]*600</f>
        <v>0</v>
      </c>
      <c r="N28">
        <f>Tableau3[[#This Row],[AVOIR L''IMPRESSION]]/Tableau3[[#This Row],[Temps de parole total personnes ontologiques]]*600</f>
        <v>0</v>
      </c>
      <c r="O28">
        <f>Tableau3[[#This Row],[DONNER L''IMPRESSION]]/Tableau3[[#This Row],[Temps de parole total personnes ontologiques]]*600</f>
        <v>0</v>
      </c>
      <c r="P28">
        <f>Tableau3[[#This Row],[PARAITRE]]/Tableau3[[#This Row],[Temps de parole total personnes ontologiques]]*600</f>
        <v>0</v>
      </c>
      <c r="Q28">
        <f>Tableau3[[#This Row],[SEMBLER]]/Tableau3[[#This Row],[Temps de parole total personnes ontologiques]]*600</f>
        <v>2.7225906963025706</v>
      </c>
      <c r="R28">
        <f>Tableau3[[#This Row],[APPAREMMENT]]/Tableau3[[#This Row],[Temps de parole total personnes ontologiques]]*600</f>
        <v>0</v>
      </c>
      <c r="S28">
        <f>Tableau3[[#This Row],[EVIDEMMENT]]/Tableau3[[#This Row],[Temps de parole total personnes ontologiques]]*600</f>
        <v>0.90753023210085682</v>
      </c>
      <c r="T28">
        <f>Tableau3[[#This Row],[MANIFESTEMENT]]/Tableau3[[#This Row],[Temps de parole total personnes ontologiques]]*600</f>
        <v>0</v>
      </c>
      <c r="U28">
        <f>Tableau3[[#This Row],[VISIBLEMENT]]/Tableau3[[#This Row],[Temps de parole total personnes ontologiques]]*600</f>
        <v>0</v>
      </c>
      <c r="V28">
        <f>SUM(Tableau3[[#This Row],[avoir l''air '[look like'] per 10 min]:[visiblement '[visibly'] per 10 min]])</f>
        <v>3.6301209284034273</v>
      </c>
    </row>
    <row r="29" spans="1:22" x14ac:dyDescent="0.2">
      <c r="A29" s="3" t="s">
        <v>136</v>
      </c>
      <c r="F29">
        <v>1</v>
      </c>
      <c r="H29">
        <v>1</v>
      </c>
      <c r="I29">
        <v>2</v>
      </c>
      <c r="K29">
        <f t="shared" si="0"/>
        <v>4</v>
      </c>
      <c r="L29">
        <f>_xlfn.XLOOKUP(Tableau3[[#This Row],[Personnes ontologiques]],'TEMPS PAROLE PERS_ONTO'!A:A,'TEMPS PAROLE PERS_ONTO'!B:B)</f>
        <v>753.90700000000004</v>
      </c>
      <c r="M29">
        <f>Tableau3[[#This Row],[AVOIR L''AIR]]/Tableau3[[#This Row],[Temps de parole total personnes ontologiques]]*600</f>
        <v>0</v>
      </c>
      <c r="N29">
        <f>Tableau3[[#This Row],[AVOIR L''IMPRESSION]]/Tableau3[[#This Row],[Temps de parole total personnes ontologiques]]*600</f>
        <v>0</v>
      </c>
      <c r="O29">
        <f>Tableau3[[#This Row],[DONNER L''IMPRESSION]]/Tableau3[[#This Row],[Temps de parole total personnes ontologiques]]*600</f>
        <v>0</v>
      </c>
      <c r="P29">
        <f>Tableau3[[#This Row],[PARAITRE]]/Tableau3[[#This Row],[Temps de parole total personnes ontologiques]]*600</f>
        <v>0</v>
      </c>
      <c r="Q29">
        <f>Tableau3[[#This Row],[SEMBLER]]/Tableau3[[#This Row],[Temps de parole total personnes ontologiques]]*600</f>
        <v>0.79585413054925869</v>
      </c>
      <c r="R29">
        <f>Tableau3[[#This Row],[APPAREMMENT]]/Tableau3[[#This Row],[Temps de parole total personnes ontologiques]]*600</f>
        <v>0</v>
      </c>
      <c r="S29">
        <f>Tableau3[[#This Row],[EVIDEMMENT]]/Tableau3[[#This Row],[Temps de parole total personnes ontologiques]]*600</f>
        <v>0.79585413054925869</v>
      </c>
      <c r="T29">
        <f>Tableau3[[#This Row],[MANIFESTEMENT]]/Tableau3[[#This Row],[Temps de parole total personnes ontologiques]]*600</f>
        <v>1.5917082610985174</v>
      </c>
      <c r="U29">
        <f>Tableau3[[#This Row],[VISIBLEMENT]]/Tableau3[[#This Row],[Temps de parole total personnes ontologiques]]*600</f>
        <v>0</v>
      </c>
      <c r="V29">
        <f>SUM(Tableau3[[#This Row],[avoir l''air '[look like'] per 10 min]:[visiblement '[visibly'] per 10 min]])</f>
        <v>3.1834165221970347</v>
      </c>
    </row>
    <row r="30" spans="1:22" x14ac:dyDescent="0.2">
      <c r="A30" s="3" t="s">
        <v>233</v>
      </c>
      <c r="H30">
        <v>4</v>
      </c>
      <c r="K30">
        <f t="shared" si="0"/>
        <v>4</v>
      </c>
      <c r="L30">
        <f>_xlfn.XLOOKUP(Tableau3[[#This Row],[Personnes ontologiques]],'TEMPS PAROLE PERS_ONTO'!A:A,'TEMPS PAROLE PERS_ONTO'!B:B)</f>
        <v>764.22900000000004</v>
      </c>
      <c r="M30">
        <f>Tableau3[[#This Row],[AVOIR L''AIR]]/Tableau3[[#This Row],[Temps de parole total personnes ontologiques]]*600</f>
        <v>0</v>
      </c>
      <c r="N30">
        <f>Tableau3[[#This Row],[AVOIR L''IMPRESSION]]/Tableau3[[#This Row],[Temps de parole total personnes ontologiques]]*600</f>
        <v>0</v>
      </c>
      <c r="O30">
        <f>Tableau3[[#This Row],[DONNER L''IMPRESSION]]/Tableau3[[#This Row],[Temps de parole total personnes ontologiques]]*600</f>
        <v>0</v>
      </c>
      <c r="P30">
        <f>Tableau3[[#This Row],[PARAITRE]]/Tableau3[[#This Row],[Temps de parole total personnes ontologiques]]*600</f>
        <v>0</v>
      </c>
      <c r="Q30">
        <f>Tableau3[[#This Row],[SEMBLER]]/Tableau3[[#This Row],[Temps de parole total personnes ontologiques]]*600</f>
        <v>0</v>
      </c>
      <c r="R30">
        <f>Tableau3[[#This Row],[APPAREMMENT]]/Tableau3[[#This Row],[Temps de parole total personnes ontologiques]]*600</f>
        <v>0</v>
      </c>
      <c r="S30">
        <f>Tableau3[[#This Row],[EVIDEMMENT]]/Tableau3[[#This Row],[Temps de parole total personnes ontologiques]]*600</f>
        <v>3.1404199526581689</v>
      </c>
      <c r="T30">
        <f>Tableau3[[#This Row],[MANIFESTEMENT]]/Tableau3[[#This Row],[Temps de parole total personnes ontologiques]]*600</f>
        <v>0</v>
      </c>
      <c r="U30">
        <f>Tableau3[[#This Row],[VISIBLEMENT]]/Tableau3[[#This Row],[Temps de parole total personnes ontologiques]]*600</f>
        <v>0</v>
      </c>
      <c r="V30">
        <f>SUM(Tableau3[[#This Row],[avoir l''air '[look like'] per 10 min]:[visiblement '[visibly'] per 10 min]])</f>
        <v>3.1404199526581689</v>
      </c>
    </row>
    <row r="31" spans="1:22" x14ac:dyDescent="0.2">
      <c r="A31" s="3" t="s">
        <v>176</v>
      </c>
      <c r="F31">
        <v>2</v>
      </c>
      <c r="G31">
        <v>1</v>
      </c>
      <c r="H31">
        <v>1</v>
      </c>
      <c r="K31">
        <f t="shared" si="0"/>
        <v>4</v>
      </c>
      <c r="L31">
        <f>_xlfn.XLOOKUP(Tableau3[[#This Row],[Personnes ontologiques]],'TEMPS PAROLE PERS_ONTO'!A:A,'TEMPS PAROLE PERS_ONTO'!B:B)</f>
        <v>1187.326</v>
      </c>
      <c r="M31">
        <f>Tableau3[[#This Row],[AVOIR L''AIR]]/Tableau3[[#This Row],[Temps de parole total personnes ontologiques]]*600</f>
        <v>0</v>
      </c>
      <c r="N31">
        <f>Tableau3[[#This Row],[AVOIR L''IMPRESSION]]/Tableau3[[#This Row],[Temps de parole total personnes ontologiques]]*600</f>
        <v>0</v>
      </c>
      <c r="O31">
        <f>Tableau3[[#This Row],[DONNER L''IMPRESSION]]/Tableau3[[#This Row],[Temps de parole total personnes ontologiques]]*600</f>
        <v>0</v>
      </c>
      <c r="P31">
        <f>Tableau3[[#This Row],[PARAITRE]]/Tableau3[[#This Row],[Temps de parole total personnes ontologiques]]*600</f>
        <v>0</v>
      </c>
      <c r="Q31">
        <f>Tableau3[[#This Row],[SEMBLER]]/Tableau3[[#This Row],[Temps de parole total personnes ontologiques]]*600</f>
        <v>1.010674406186675</v>
      </c>
      <c r="R31">
        <f>Tableau3[[#This Row],[APPAREMMENT]]/Tableau3[[#This Row],[Temps de parole total personnes ontologiques]]*600</f>
        <v>0.50533720309333752</v>
      </c>
      <c r="S31">
        <f>Tableau3[[#This Row],[EVIDEMMENT]]/Tableau3[[#This Row],[Temps de parole total personnes ontologiques]]*600</f>
        <v>0.50533720309333752</v>
      </c>
      <c r="T31">
        <f>Tableau3[[#This Row],[MANIFESTEMENT]]/Tableau3[[#This Row],[Temps de parole total personnes ontologiques]]*600</f>
        <v>0</v>
      </c>
      <c r="U31">
        <f>Tableau3[[#This Row],[VISIBLEMENT]]/Tableau3[[#This Row],[Temps de parole total personnes ontologiques]]*600</f>
        <v>0</v>
      </c>
      <c r="V31">
        <f>SUM(Tableau3[[#This Row],[avoir l''air '[look like'] per 10 min]:[visiblement '[visibly'] per 10 min]])</f>
        <v>2.0213488123733501</v>
      </c>
    </row>
    <row r="32" spans="1:22" x14ac:dyDescent="0.2">
      <c r="A32" s="3" t="s">
        <v>117</v>
      </c>
      <c r="C32">
        <v>1</v>
      </c>
      <c r="D32">
        <v>1</v>
      </c>
      <c r="F32">
        <v>2</v>
      </c>
      <c r="K32">
        <f t="shared" si="0"/>
        <v>4</v>
      </c>
      <c r="L32">
        <f>_xlfn.XLOOKUP(Tableau3[[#This Row],[Personnes ontologiques]],'TEMPS PAROLE PERS_ONTO'!A:A,'TEMPS PAROLE PERS_ONTO'!B:B)</f>
        <v>3497.6950000000002</v>
      </c>
      <c r="M32">
        <f>Tableau3[[#This Row],[AVOIR L''AIR]]/Tableau3[[#This Row],[Temps de parole total personnes ontologiques]]*600</f>
        <v>0</v>
      </c>
      <c r="N32">
        <f>Tableau3[[#This Row],[AVOIR L''IMPRESSION]]/Tableau3[[#This Row],[Temps de parole total personnes ontologiques]]*600</f>
        <v>0.17154154378812331</v>
      </c>
      <c r="O32">
        <f>Tableau3[[#This Row],[DONNER L''IMPRESSION]]/Tableau3[[#This Row],[Temps de parole total personnes ontologiques]]*600</f>
        <v>0.17154154378812331</v>
      </c>
      <c r="P32">
        <f>Tableau3[[#This Row],[PARAITRE]]/Tableau3[[#This Row],[Temps de parole total personnes ontologiques]]*600</f>
        <v>0</v>
      </c>
      <c r="Q32">
        <f>Tableau3[[#This Row],[SEMBLER]]/Tableau3[[#This Row],[Temps de parole total personnes ontologiques]]*600</f>
        <v>0.34308308757624661</v>
      </c>
      <c r="R32">
        <f>Tableau3[[#This Row],[APPAREMMENT]]/Tableau3[[#This Row],[Temps de parole total personnes ontologiques]]*600</f>
        <v>0</v>
      </c>
      <c r="S32">
        <f>Tableau3[[#This Row],[EVIDEMMENT]]/Tableau3[[#This Row],[Temps de parole total personnes ontologiques]]*600</f>
        <v>0</v>
      </c>
      <c r="T32">
        <f>Tableau3[[#This Row],[MANIFESTEMENT]]/Tableau3[[#This Row],[Temps de parole total personnes ontologiques]]*600</f>
        <v>0</v>
      </c>
      <c r="U32">
        <f>Tableau3[[#This Row],[VISIBLEMENT]]/Tableau3[[#This Row],[Temps de parole total personnes ontologiques]]*600</f>
        <v>0</v>
      </c>
      <c r="V32">
        <f>SUM(Tableau3[[#This Row],[avoir l''air '[look like'] per 10 min]:[visiblement '[visibly'] per 10 min]])</f>
        <v>0.68616617515249323</v>
      </c>
    </row>
    <row r="33" spans="1:22" x14ac:dyDescent="0.2">
      <c r="A33" s="3" t="s">
        <v>74</v>
      </c>
      <c r="C33">
        <v>2</v>
      </c>
      <c r="H33">
        <v>1</v>
      </c>
      <c r="K33">
        <f t="shared" si="0"/>
        <v>3</v>
      </c>
      <c r="L33">
        <f>_xlfn.XLOOKUP(Tableau3[[#This Row],[Personnes ontologiques]],'TEMPS PAROLE PERS_ONTO'!A:A,'TEMPS PAROLE PERS_ONTO'!B:B)</f>
        <v>86.605999999999995</v>
      </c>
      <c r="M33">
        <f>Tableau3[[#This Row],[AVOIR L''AIR]]/Tableau3[[#This Row],[Temps de parole total personnes ontologiques]]*600</f>
        <v>0</v>
      </c>
      <c r="N33">
        <f>Tableau3[[#This Row],[AVOIR L''IMPRESSION]]/Tableau3[[#This Row],[Temps de parole total personnes ontologiques]]*600</f>
        <v>13.855852943214098</v>
      </c>
      <c r="O33">
        <f>Tableau3[[#This Row],[DONNER L''IMPRESSION]]/Tableau3[[#This Row],[Temps de parole total personnes ontologiques]]*600</f>
        <v>0</v>
      </c>
      <c r="P33">
        <f>Tableau3[[#This Row],[PARAITRE]]/Tableau3[[#This Row],[Temps de parole total personnes ontologiques]]*600</f>
        <v>0</v>
      </c>
      <c r="Q33">
        <f>Tableau3[[#This Row],[SEMBLER]]/Tableau3[[#This Row],[Temps de parole total personnes ontologiques]]*600</f>
        <v>0</v>
      </c>
      <c r="R33">
        <f>Tableau3[[#This Row],[APPAREMMENT]]/Tableau3[[#This Row],[Temps de parole total personnes ontologiques]]*600</f>
        <v>0</v>
      </c>
      <c r="S33">
        <f>Tableau3[[#This Row],[EVIDEMMENT]]/Tableau3[[#This Row],[Temps de parole total personnes ontologiques]]*600</f>
        <v>6.9279264716070488</v>
      </c>
      <c r="T33">
        <f>Tableau3[[#This Row],[MANIFESTEMENT]]/Tableau3[[#This Row],[Temps de parole total personnes ontologiques]]*600</f>
        <v>0</v>
      </c>
      <c r="U33">
        <f>Tableau3[[#This Row],[VISIBLEMENT]]/Tableau3[[#This Row],[Temps de parole total personnes ontologiques]]*600</f>
        <v>0</v>
      </c>
      <c r="V33">
        <f>SUM(Tableau3[[#This Row],[avoir l''air '[look like'] per 10 min]:[visiblement '[visibly'] per 10 min]])</f>
        <v>20.783779414821147</v>
      </c>
    </row>
    <row r="34" spans="1:22" x14ac:dyDescent="0.2">
      <c r="A34" s="3" t="s">
        <v>134</v>
      </c>
      <c r="C34">
        <v>1</v>
      </c>
      <c r="F34">
        <v>2</v>
      </c>
      <c r="K34">
        <f t="shared" ref="K34:K65" si="1">SUM(B34:J34)</f>
        <v>3</v>
      </c>
      <c r="L34">
        <f>_xlfn.XLOOKUP(Tableau3[[#This Row],[Personnes ontologiques]],'TEMPS PAROLE PERS_ONTO'!A:A,'TEMPS PAROLE PERS_ONTO'!B:B)</f>
        <v>89.927000000000007</v>
      </c>
      <c r="M34">
        <f>Tableau3[[#This Row],[AVOIR L''AIR]]/Tableau3[[#This Row],[Temps de parole total personnes ontologiques]]*600</f>
        <v>0</v>
      </c>
      <c r="N34">
        <f>Tableau3[[#This Row],[AVOIR L''IMPRESSION]]/Tableau3[[#This Row],[Temps de parole total personnes ontologiques]]*600</f>
        <v>6.6720784636427322</v>
      </c>
      <c r="O34">
        <f>Tableau3[[#This Row],[DONNER L''IMPRESSION]]/Tableau3[[#This Row],[Temps de parole total personnes ontologiques]]*600</f>
        <v>0</v>
      </c>
      <c r="P34">
        <f>Tableau3[[#This Row],[PARAITRE]]/Tableau3[[#This Row],[Temps de parole total personnes ontologiques]]*600</f>
        <v>0</v>
      </c>
      <c r="Q34">
        <f>Tableau3[[#This Row],[SEMBLER]]/Tableau3[[#This Row],[Temps de parole total personnes ontologiques]]*600</f>
        <v>13.344156927285464</v>
      </c>
      <c r="R34">
        <f>Tableau3[[#This Row],[APPAREMMENT]]/Tableau3[[#This Row],[Temps de parole total personnes ontologiques]]*600</f>
        <v>0</v>
      </c>
      <c r="S34">
        <f>Tableau3[[#This Row],[EVIDEMMENT]]/Tableau3[[#This Row],[Temps de parole total personnes ontologiques]]*600</f>
        <v>0</v>
      </c>
      <c r="T34">
        <f>Tableau3[[#This Row],[MANIFESTEMENT]]/Tableau3[[#This Row],[Temps de parole total personnes ontologiques]]*600</f>
        <v>0</v>
      </c>
      <c r="U34">
        <f>Tableau3[[#This Row],[VISIBLEMENT]]/Tableau3[[#This Row],[Temps de parole total personnes ontologiques]]*600</f>
        <v>0</v>
      </c>
      <c r="V34">
        <f>SUM(Tableau3[[#This Row],[avoir l''air '[look like'] per 10 min]:[visiblement '[visibly'] per 10 min]])</f>
        <v>20.016235390928195</v>
      </c>
    </row>
    <row r="35" spans="1:22" x14ac:dyDescent="0.2">
      <c r="A35" s="3" t="s">
        <v>153</v>
      </c>
      <c r="F35">
        <v>3</v>
      </c>
      <c r="K35">
        <f t="shared" si="1"/>
        <v>3</v>
      </c>
      <c r="L35">
        <f>_xlfn.XLOOKUP(Tableau3[[#This Row],[Personnes ontologiques]],'TEMPS PAROLE PERS_ONTO'!A:A,'TEMPS PAROLE PERS_ONTO'!B:B)</f>
        <v>169.21700000000001</v>
      </c>
      <c r="M35">
        <f>Tableau3[[#This Row],[AVOIR L''AIR]]/Tableau3[[#This Row],[Temps de parole total personnes ontologiques]]*600</f>
        <v>0</v>
      </c>
      <c r="N35">
        <f>Tableau3[[#This Row],[AVOIR L''IMPRESSION]]/Tableau3[[#This Row],[Temps de parole total personnes ontologiques]]*600</f>
        <v>0</v>
      </c>
      <c r="O35">
        <f>Tableau3[[#This Row],[DONNER L''IMPRESSION]]/Tableau3[[#This Row],[Temps de parole total personnes ontologiques]]*600</f>
        <v>0</v>
      </c>
      <c r="P35">
        <f>Tableau3[[#This Row],[PARAITRE]]/Tableau3[[#This Row],[Temps de parole total personnes ontologiques]]*600</f>
        <v>0</v>
      </c>
      <c r="Q35">
        <f>Tableau3[[#This Row],[SEMBLER]]/Tableau3[[#This Row],[Temps de parole total personnes ontologiques]]*600</f>
        <v>10.637229120005671</v>
      </c>
      <c r="R35">
        <f>Tableau3[[#This Row],[APPAREMMENT]]/Tableau3[[#This Row],[Temps de parole total personnes ontologiques]]*600</f>
        <v>0</v>
      </c>
      <c r="S35">
        <f>Tableau3[[#This Row],[EVIDEMMENT]]/Tableau3[[#This Row],[Temps de parole total personnes ontologiques]]*600</f>
        <v>0</v>
      </c>
      <c r="T35">
        <f>Tableau3[[#This Row],[MANIFESTEMENT]]/Tableau3[[#This Row],[Temps de parole total personnes ontologiques]]*600</f>
        <v>0</v>
      </c>
      <c r="U35">
        <f>Tableau3[[#This Row],[VISIBLEMENT]]/Tableau3[[#This Row],[Temps de parole total personnes ontologiques]]*600</f>
        <v>0</v>
      </c>
      <c r="V35">
        <f>SUM(Tableau3[[#This Row],[avoir l''air '[look like'] per 10 min]:[visiblement '[visibly'] per 10 min]])</f>
        <v>10.637229120005671</v>
      </c>
    </row>
    <row r="36" spans="1:22" x14ac:dyDescent="0.2">
      <c r="A36" s="3" t="s">
        <v>200</v>
      </c>
      <c r="H36">
        <v>3</v>
      </c>
      <c r="K36">
        <f t="shared" si="1"/>
        <v>3</v>
      </c>
      <c r="L36">
        <f>_xlfn.XLOOKUP(Tableau3[[#This Row],[Personnes ontologiques]],'TEMPS PAROLE PERS_ONTO'!A:A,'TEMPS PAROLE PERS_ONTO'!B:B)</f>
        <v>255.32900000000001</v>
      </c>
      <c r="M36">
        <f>Tableau3[[#This Row],[AVOIR L''AIR]]/Tableau3[[#This Row],[Temps de parole total personnes ontologiques]]*600</f>
        <v>0</v>
      </c>
      <c r="N36">
        <f>Tableau3[[#This Row],[AVOIR L''IMPRESSION]]/Tableau3[[#This Row],[Temps de parole total personnes ontologiques]]*600</f>
        <v>0</v>
      </c>
      <c r="O36">
        <f>Tableau3[[#This Row],[DONNER L''IMPRESSION]]/Tableau3[[#This Row],[Temps de parole total personnes ontologiques]]*600</f>
        <v>0</v>
      </c>
      <c r="P36">
        <f>Tableau3[[#This Row],[PARAITRE]]/Tableau3[[#This Row],[Temps de parole total personnes ontologiques]]*600</f>
        <v>0</v>
      </c>
      <c r="Q36">
        <f>Tableau3[[#This Row],[SEMBLER]]/Tableau3[[#This Row],[Temps de parole total personnes ontologiques]]*600</f>
        <v>0</v>
      </c>
      <c r="R36">
        <f>Tableau3[[#This Row],[APPAREMMENT]]/Tableau3[[#This Row],[Temps de parole total personnes ontologiques]]*600</f>
        <v>0</v>
      </c>
      <c r="S36">
        <f>Tableau3[[#This Row],[EVIDEMMENT]]/Tableau3[[#This Row],[Temps de parole total personnes ontologiques]]*600</f>
        <v>7.0497279979947445</v>
      </c>
      <c r="T36">
        <f>Tableau3[[#This Row],[MANIFESTEMENT]]/Tableau3[[#This Row],[Temps de parole total personnes ontologiques]]*600</f>
        <v>0</v>
      </c>
      <c r="U36">
        <f>Tableau3[[#This Row],[VISIBLEMENT]]/Tableau3[[#This Row],[Temps de parole total personnes ontologiques]]*600</f>
        <v>0</v>
      </c>
      <c r="V36">
        <f>SUM(Tableau3[[#This Row],[avoir l''air '[look like'] per 10 min]:[visiblement '[visibly'] per 10 min]])</f>
        <v>7.0497279979947445</v>
      </c>
    </row>
    <row r="37" spans="1:22" x14ac:dyDescent="0.2">
      <c r="A37" s="3" t="s">
        <v>70</v>
      </c>
      <c r="B37">
        <v>1</v>
      </c>
      <c r="H37">
        <v>2</v>
      </c>
      <c r="K37">
        <f t="shared" si="1"/>
        <v>3</v>
      </c>
      <c r="L37">
        <f>_xlfn.XLOOKUP(Tableau3[[#This Row],[Personnes ontologiques]],'TEMPS PAROLE PERS_ONTO'!A:A,'TEMPS PAROLE PERS_ONTO'!B:B)</f>
        <v>574.38900000000001</v>
      </c>
      <c r="M37">
        <f>Tableau3[[#This Row],[AVOIR L''AIR]]/Tableau3[[#This Row],[Temps de parole total personnes ontologiques]]*600</f>
        <v>1.0445882494267822</v>
      </c>
      <c r="N37">
        <f>Tableau3[[#This Row],[AVOIR L''IMPRESSION]]/Tableau3[[#This Row],[Temps de parole total personnes ontologiques]]*600</f>
        <v>0</v>
      </c>
      <c r="O37">
        <f>Tableau3[[#This Row],[DONNER L''IMPRESSION]]/Tableau3[[#This Row],[Temps de parole total personnes ontologiques]]*600</f>
        <v>0</v>
      </c>
      <c r="P37">
        <f>Tableau3[[#This Row],[PARAITRE]]/Tableau3[[#This Row],[Temps de parole total personnes ontologiques]]*600</f>
        <v>0</v>
      </c>
      <c r="Q37">
        <f>Tableau3[[#This Row],[SEMBLER]]/Tableau3[[#This Row],[Temps de parole total personnes ontologiques]]*600</f>
        <v>0</v>
      </c>
      <c r="R37">
        <f>Tableau3[[#This Row],[APPAREMMENT]]/Tableau3[[#This Row],[Temps de parole total personnes ontologiques]]*600</f>
        <v>0</v>
      </c>
      <c r="S37">
        <f>Tableau3[[#This Row],[EVIDEMMENT]]/Tableau3[[#This Row],[Temps de parole total personnes ontologiques]]*600</f>
        <v>2.0891764988535644</v>
      </c>
      <c r="T37">
        <f>Tableau3[[#This Row],[MANIFESTEMENT]]/Tableau3[[#This Row],[Temps de parole total personnes ontologiques]]*600</f>
        <v>0</v>
      </c>
      <c r="U37">
        <f>Tableau3[[#This Row],[VISIBLEMENT]]/Tableau3[[#This Row],[Temps de parole total personnes ontologiques]]*600</f>
        <v>0</v>
      </c>
      <c r="V37">
        <f>SUM(Tableau3[[#This Row],[avoir l''air '[look like'] per 10 min]:[visiblement '[visibly'] per 10 min]])</f>
        <v>3.1337647482803463</v>
      </c>
    </row>
    <row r="38" spans="1:22" x14ac:dyDescent="0.2">
      <c r="A38" s="3" t="s">
        <v>78</v>
      </c>
      <c r="C38">
        <v>2</v>
      </c>
      <c r="H38">
        <v>1</v>
      </c>
      <c r="K38">
        <f t="shared" si="1"/>
        <v>3</v>
      </c>
      <c r="L38">
        <f>_xlfn.XLOOKUP(Tableau3[[#This Row],[Personnes ontologiques]],'TEMPS PAROLE PERS_ONTO'!A:A,'TEMPS PAROLE PERS_ONTO'!B:B)</f>
        <v>690.53800000000001</v>
      </c>
      <c r="M38">
        <f>Tableau3[[#This Row],[AVOIR L''AIR]]/Tableau3[[#This Row],[Temps de parole total personnes ontologiques]]*600</f>
        <v>0</v>
      </c>
      <c r="N38">
        <f>Tableau3[[#This Row],[AVOIR L''IMPRESSION]]/Tableau3[[#This Row],[Temps de parole total personnes ontologiques]]*600</f>
        <v>1.7377754736162239</v>
      </c>
      <c r="O38">
        <f>Tableau3[[#This Row],[DONNER L''IMPRESSION]]/Tableau3[[#This Row],[Temps de parole total personnes ontologiques]]*600</f>
        <v>0</v>
      </c>
      <c r="P38">
        <f>Tableau3[[#This Row],[PARAITRE]]/Tableau3[[#This Row],[Temps de parole total personnes ontologiques]]*600</f>
        <v>0</v>
      </c>
      <c r="Q38">
        <f>Tableau3[[#This Row],[SEMBLER]]/Tableau3[[#This Row],[Temps de parole total personnes ontologiques]]*600</f>
        <v>0</v>
      </c>
      <c r="R38">
        <f>Tableau3[[#This Row],[APPAREMMENT]]/Tableau3[[#This Row],[Temps de parole total personnes ontologiques]]*600</f>
        <v>0</v>
      </c>
      <c r="S38">
        <f>Tableau3[[#This Row],[EVIDEMMENT]]/Tableau3[[#This Row],[Temps de parole total personnes ontologiques]]*600</f>
        <v>0.86888773680811193</v>
      </c>
      <c r="T38">
        <f>Tableau3[[#This Row],[MANIFESTEMENT]]/Tableau3[[#This Row],[Temps de parole total personnes ontologiques]]*600</f>
        <v>0</v>
      </c>
      <c r="U38">
        <f>Tableau3[[#This Row],[VISIBLEMENT]]/Tableau3[[#This Row],[Temps de parole total personnes ontologiques]]*600</f>
        <v>0</v>
      </c>
      <c r="V38">
        <f>SUM(Tableau3[[#This Row],[avoir l''air '[look like'] per 10 min]:[visiblement '[visibly'] per 10 min]])</f>
        <v>2.6066632104243359</v>
      </c>
    </row>
    <row r="39" spans="1:22" x14ac:dyDescent="0.2">
      <c r="A39" s="3" t="s">
        <v>182</v>
      </c>
      <c r="G39">
        <v>3</v>
      </c>
      <c r="K39">
        <f t="shared" si="1"/>
        <v>3</v>
      </c>
      <c r="L39">
        <f>_xlfn.XLOOKUP(Tableau3[[#This Row],[Personnes ontologiques]],'TEMPS PAROLE PERS_ONTO'!A:A,'TEMPS PAROLE PERS_ONTO'!B:B)</f>
        <v>855.57399999999996</v>
      </c>
      <c r="M39">
        <f>Tableau3[[#This Row],[AVOIR L''AIR]]/Tableau3[[#This Row],[Temps de parole total personnes ontologiques]]*600</f>
        <v>0</v>
      </c>
      <c r="N39">
        <f>Tableau3[[#This Row],[AVOIR L''IMPRESSION]]/Tableau3[[#This Row],[Temps de parole total personnes ontologiques]]*600</f>
        <v>0</v>
      </c>
      <c r="O39">
        <f>Tableau3[[#This Row],[DONNER L''IMPRESSION]]/Tableau3[[#This Row],[Temps de parole total personnes ontologiques]]*600</f>
        <v>0</v>
      </c>
      <c r="P39">
        <f>Tableau3[[#This Row],[PARAITRE]]/Tableau3[[#This Row],[Temps de parole total personnes ontologiques]]*600</f>
        <v>0</v>
      </c>
      <c r="Q39">
        <f>Tableau3[[#This Row],[SEMBLER]]/Tableau3[[#This Row],[Temps de parole total personnes ontologiques]]*600</f>
        <v>0</v>
      </c>
      <c r="R39">
        <f>Tableau3[[#This Row],[APPAREMMENT]]/Tableau3[[#This Row],[Temps de parole total personnes ontologiques]]*600</f>
        <v>2.1038507481527025</v>
      </c>
      <c r="S39">
        <f>Tableau3[[#This Row],[EVIDEMMENT]]/Tableau3[[#This Row],[Temps de parole total personnes ontologiques]]*600</f>
        <v>0</v>
      </c>
      <c r="T39">
        <f>Tableau3[[#This Row],[MANIFESTEMENT]]/Tableau3[[#This Row],[Temps de parole total personnes ontologiques]]*600</f>
        <v>0</v>
      </c>
      <c r="U39">
        <f>Tableau3[[#This Row],[VISIBLEMENT]]/Tableau3[[#This Row],[Temps de parole total personnes ontologiques]]*600</f>
        <v>0</v>
      </c>
      <c r="V39">
        <f>SUM(Tableau3[[#This Row],[avoir l''air '[look like'] per 10 min]:[visiblement '[visibly'] per 10 min]])</f>
        <v>2.1038507481527025</v>
      </c>
    </row>
    <row r="40" spans="1:22" x14ac:dyDescent="0.2">
      <c r="A40" s="3" t="s">
        <v>113</v>
      </c>
      <c r="D40">
        <v>1</v>
      </c>
      <c r="F40">
        <v>1</v>
      </c>
      <c r="G40">
        <v>1</v>
      </c>
      <c r="K40">
        <f t="shared" si="1"/>
        <v>3</v>
      </c>
      <c r="L40">
        <f>_xlfn.XLOOKUP(Tableau3[[#This Row],[Personnes ontologiques]],'TEMPS PAROLE PERS_ONTO'!A:A,'TEMPS PAROLE PERS_ONTO'!B:B)</f>
        <v>876.34900000000005</v>
      </c>
      <c r="M40">
        <f>Tableau3[[#This Row],[AVOIR L''AIR]]/Tableau3[[#This Row],[Temps de parole total personnes ontologiques]]*600</f>
        <v>0</v>
      </c>
      <c r="N40">
        <f>Tableau3[[#This Row],[AVOIR L''IMPRESSION]]/Tableau3[[#This Row],[Temps de parole total personnes ontologiques]]*600</f>
        <v>0</v>
      </c>
      <c r="O40">
        <f>Tableau3[[#This Row],[DONNER L''IMPRESSION]]/Tableau3[[#This Row],[Temps de parole total personnes ontologiques]]*600</f>
        <v>0.68465873755775375</v>
      </c>
      <c r="P40">
        <f>Tableau3[[#This Row],[PARAITRE]]/Tableau3[[#This Row],[Temps de parole total personnes ontologiques]]*600</f>
        <v>0</v>
      </c>
      <c r="Q40">
        <f>Tableau3[[#This Row],[SEMBLER]]/Tableau3[[#This Row],[Temps de parole total personnes ontologiques]]*600</f>
        <v>0.68465873755775375</v>
      </c>
      <c r="R40">
        <f>Tableau3[[#This Row],[APPAREMMENT]]/Tableau3[[#This Row],[Temps de parole total personnes ontologiques]]*600</f>
        <v>0.68465873755775375</v>
      </c>
      <c r="S40">
        <f>Tableau3[[#This Row],[EVIDEMMENT]]/Tableau3[[#This Row],[Temps de parole total personnes ontologiques]]*600</f>
        <v>0</v>
      </c>
      <c r="T40">
        <f>Tableau3[[#This Row],[MANIFESTEMENT]]/Tableau3[[#This Row],[Temps de parole total personnes ontologiques]]*600</f>
        <v>0</v>
      </c>
      <c r="U40">
        <f>Tableau3[[#This Row],[VISIBLEMENT]]/Tableau3[[#This Row],[Temps de parole total personnes ontologiques]]*600</f>
        <v>0</v>
      </c>
      <c r="V40">
        <f>SUM(Tableau3[[#This Row],[avoir l''air '[look like'] per 10 min]:[visiblement '[visibly'] per 10 min]])</f>
        <v>2.0539762126732612</v>
      </c>
    </row>
    <row r="41" spans="1:22" x14ac:dyDescent="0.2">
      <c r="A41" s="3" t="s">
        <v>189</v>
      </c>
      <c r="H41">
        <v>3</v>
      </c>
      <c r="K41">
        <f t="shared" si="1"/>
        <v>3</v>
      </c>
      <c r="L41">
        <f>_xlfn.XLOOKUP(Tableau3[[#This Row],[Personnes ontologiques]],'TEMPS PAROLE PERS_ONTO'!A:A,'TEMPS PAROLE PERS_ONTO'!B:B)</f>
        <v>974.31500000000005</v>
      </c>
      <c r="M41">
        <f>Tableau3[[#This Row],[AVOIR L''AIR]]/Tableau3[[#This Row],[Temps de parole total personnes ontologiques]]*600</f>
        <v>0</v>
      </c>
      <c r="N41">
        <f>Tableau3[[#This Row],[AVOIR L''IMPRESSION]]/Tableau3[[#This Row],[Temps de parole total personnes ontologiques]]*600</f>
        <v>0</v>
      </c>
      <c r="O41">
        <f>Tableau3[[#This Row],[DONNER L''IMPRESSION]]/Tableau3[[#This Row],[Temps de parole total personnes ontologiques]]*600</f>
        <v>0</v>
      </c>
      <c r="P41">
        <f>Tableau3[[#This Row],[PARAITRE]]/Tableau3[[#This Row],[Temps de parole total personnes ontologiques]]*600</f>
        <v>0</v>
      </c>
      <c r="Q41">
        <f>Tableau3[[#This Row],[SEMBLER]]/Tableau3[[#This Row],[Temps de parole total personnes ontologiques]]*600</f>
        <v>0</v>
      </c>
      <c r="R41">
        <f>Tableau3[[#This Row],[APPAREMMENT]]/Tableau3[[#This Row],[Temps de parole total personnes ontologiques]]*600</f>
        <v>0</v>
      </c>
      <c r="S41">
        <f>Tableau3[[#This Row],[EVIDEMMENT]]/Tableau3[[#This Row],[Temps de parole total personnes ontologiques]]*600</f>
        <v>1.8474517994693707</v>
      </c>
      <c r="T41">
        <f>Tableau3[[#This Row],[MANIFESTEMENT]]/Tableau3[[#This Row],[Temps de parole total personnes ontologiques]]*600</f>
        <v>0</v>
      </c>
      <c r="U41">
        <f>Tableau3[[#This Row],[VISIBLEMENT]]/Tableau3[[#This Row],[Temps de parole total personnes ontologiques]]*600</f>
        <v>0</v>
      </c>
      <c r="V41">
        <f>SUM(Tableau3[[#This Row],[avoir l''air '[look like'] per 10 min]:[visiblement '[visibly'] per 10 min]])</f>
        <v>1.8474517994693707</v>
      </c>
    </row>
    <row r="42" spans="1:22" x14ac:dyDescent="0.2">
      <c r="A42" s="3" t="s">
        <v>165</v>
      </c>
      <c r="C42">
        <v>1</v>
      </c>
      <c r="G42">
        <v>1</v>
      </c>
      <c r="H42">
        <v>1</v>
      </c>
      <c r="K42">
        <f t="shared" si="1"/>
        <v>3</v>
      </c>
      <c r="L42">
        <f>_xlfn.XLOOKUP(Tableau3[[#This Row],[Personnes ontologiques]],'TEMPS PAROLE PERS_ONTO'!A:A,'TEMPS PAROLE PERS_ONTO'!B:B)</f>
        <v>1037.4849999999999</v>
      </c>
      <c r="M42">
        <f>Tableau3[[#This Row],[AVOIR L''AIR]]/Tableau3[[#This Row],[Temps de parole total personnes ontologiques]]*600</f>
        <v>0</v>
      </c>
      <c r="N42">
        <f>Tableau3[[#This Row],[AVOIR L''IMPRESSION]]/Tableau3[[#This Row],[Temps de parole total personnes ontologiques]]*600</f>
        <v>0.57832161428839945</v>
      </c>
      <c r="O42">
        <f>Tableau3[[#This Row],[DONNER L''IMPRESSION]]/Tableau3[[#This Row],[Temps de parole total personnes ontologiques]]*600</f>
        <v>0</v>
      </c>
      <c r="P42">
        <f>Tableau3[[#This Row],[PARAITRE]]/Tableau3[[#This Row],[Temps de parole total personnes ontologiques]]*600</f>
        <v>0</v>
      </c>
      <c r="Q42">
        <f>Tableau3[[#This Row],[SEMBLER]]/Tableau3[[#This Row],[Temps de parole total personnes ontologiques]]*600</f>
        <v>0</v>
      </c>
      <c r="R42">
        <f>Tableau3[[#This Row],[APPAREMMENT]]/Tableau3[[#This Row],[Temps de parole total personnes ontologiques]]*600</f>
        <v>0.57832161428839945</v>
      </c>
      <c r="S42">
        <f>Tableau3[[#This Row],[EVIDEMMENT]]/Tableau3[[#This Row],[Temps de parole total personnes ontologiques]]*600</f>
        <v>0.57832161428839945</v>
      </c>
      <c r="T42">
        <f>Tableau3[[#This Row],[MANIFESTEMENT]]/Tableau3[[#This Row],[Temps de parole total personnes ontologiques]]*600</f>
        <v>0</v>
      </c>
      <c r="U42">
        <f>Tableau3[[#This Row],[VISIBLEMENT]]/Tableau3[[#This Row],[Temps de parole total personnes ontologiques]]*600</f>
        <v>0</v>
      </c>
      <c r="V42">
        <f>SUM(Tableau3[[#This Row],[avoir l''air '[look like'] per 10 min]:[visiblement '[visibly'] per 10 min]])</f>
        <v>1.7349648428651983</v>
      </c>
    </row>
    <row r="43" spans="1:22" x14ac:dyDescent="0.2">
      <c r="A43" s="3" t="s">
        <v>103</v>
      </c>
      <c r="C43">
        <v>1</v>
      </c>
      <c r="F43">
        <v>2</v>
      </c>
      <c r="K43">
        <f t="shared" si="1"/>
        <v>3</v>
      </c>
      <c r="L43">
        <f>_xlfn.XLOOKUP(Tableau3[[#This Row],[Personnes ontologiques]],'TEMPS PAROLE PERS_ONTO'!A:A,'TEMPS PAROLE PERS_ONTO'!B:B)</f>
        <v>1405.691</v>
      </c>
      <c r="M43">
        <f>Tableau3[[#This Row],[AVOIR L''AIR]]/Tableau3[[#This Row],[Temps de parole total personnes ontologiques]]*600</f>
        <v>0</v>
      </c>
      <c r="N43">
        <f>Tableau3[[#This Row],[AVOIR L''IMPRESSION]]/Tableau3[[#This Row],[Temps de parole total personnes ontologiques]]*600</f>
        <v>0.42683633885398709</v>
      </c>
      <c r="O43">
        <f>Tableau3[[#This Row],[DONNER L''IMPRESSION]]/Tableau3[[#This Row],[Temps de parole total personnes ontologiques]]*600</f>
        <v>0</v>
      </c>
      <c r="P43">
        <f>Tableau3[[#This Row],[PARAITRE]]/Tableau3[[#This Row],[Temps de parole total personnes ontologiques]]*600</f>
        <v>0</v>
      </c>
      <c r="Q43">
        <f>Tableau3[[#This Row],[SEMBLER]]/Tableau3[[#This Row],[Temps de parole total personnes ontologiques]]*600</f>
        <v>0.85367267770797417</v>
      </c>
      <c r="R43">
        <f>Tableau3[[#This Row],[APPAREMMENT]]/Tableau3[[#This Row],[Temps de parole total personnes ontologiques]]*600</f>
        <v>0</v>
      </c>
      <c r="S43">
        <f>Tableau3[[#This Row],[EVIDEMMENT]]/Tableau3[[#This Row],[Temps de parole total personnes ontologiques]]*600</f>
        <v>0</v>
      </c>
      <c r="T43">
        <f>Tableau3[[#This Row],[MANIFESTEMENT]]/Tableau3[[#This Row],[Temps de parole total personnes ontologiques]]*600</f>
        <v>0</v>
      </c>
      <c r="U43">
        <f>Tableau3[[#This Row],[VISIBLEMENT]]/Tableau3[[#This Row],[Temps de parole total personnes ontologiques]]*600</f>
        <v>0</v>
      </c>
      <c r="V43">
        <f>SUM(Tableau3[[#This Row],[avoir l''air '[look like'] per 10 min]:[visiblement '[visibly'] per 10 min]])</f>
        <v>1.2805090165619613</v>
      </c>
    </row>
    <row r="44" spans="1:22" x14ac:dyDescent="0.2">
      <c r="A44" s="3" t="s">
        <v>87</v>
      </c>
      <c r="B44">
        <v>1</v>
      </c>
      <c r="E44">
        <v>1</v>
      </c>
      <c r="G44">
        <v>1</v>
      </c>
      <c r="K44">
        <f t="shared" si="1"/>
        <v>3</v>
      </c>
      <c r="L44">
        <f>_xlfn.XLOOKUP(Tableau3[[#This Row],[Personnes ontologiques]],'TEMPS PAROLE PERS_ONTO'!A:A,'TEMPS PAROLE PERS_ONTO'!B:B)</f>
        <v>2146.4050000000002</v>
      </c>
      <c r="M44">
        <f>Tableau3[[#This Row],[AVOIR L''AIR]]/Tableau3[[#This Row],[Temps de parole total personnes ontologiques]]*600</f>
        <v>0.27953717960962632</v>
      </c>
      <c r="N44">
        <f>Tableau3[[#This Row],[AVOIR L''IMPRESSION]]/Tableau3[[#This Row],[Temps de parole total personnes ontologiques]]*600</f>
        <v>0</v>
      </c>
      <c r="O44">
        <f>Tableau3[[#This Row],[DONNER L''IMPRESSION]]/Tableau3[[#This Row],[Temps de parole total personnes ontologiques]]*600</f>
        <v>0</v>
      </c>
      <c r="P44">
        <f>Tableau3[[#This Row],[PARAITRE]]/Tableau3[[#This Row],[Temps de parole total personnes ontologiques]]*600</f>
        <v>0.27953717960962632</v>
      </c>
      <c r="Q44">
        <f>Tableau3[[#This Row],[SEMBLER]]/Tableau3[[#This Row],[Temps de parole total personnes ontologiques]]*600</f>
        <v>0</v>
      </c>
      <c r="R44">
        <f>Tableau3[[#This Row],[APPAREMMENT]]/Tableau3[[#This Row],[Temps de parole total personnes ontologiques]]*600</f>
        <v>0.27953717960962632</v>
      </c>
      <c r="S44">
        <f>Tableau3[[#This Row],[EVIDEMMENT]]/Tableau3[[#This Row],[Temps de parole total personnes ontologiques]]*600</f>
        <v>0</v>
      </c>
      <c r="T44">
        <f>Tableau3[[#This Row],[MANIFESTEMENT]]/Tableau3[[#This Row],[Temps de parole total personnes ontologiques]]*600</f>
        <v>0</v>
      </c>
      <c r="U44">
        <f>Tableau3[[#This Row],[VISIBLEMENT]]/Tableau3[[#This Row],[Temps de parole total personnes ontologiques]]*600</f>
        <v>0</v>
      </c>
      <c r="V44">
        <f>SUM(Tableau3[[#This Row],[avoir l''air '[look like'] per 10 min]:[visiblement '[visibly'] per 10 min]])</f>
        <v>0.83861153882887896</v>
      </c>
    </row>
    <row r="45" spans="1:22" x14ac:dyDescent="0.2">
      <c r="A45" s="3" t="s">
        <v>59</v>
      </c>
      <c r="B45">
        <v>1</v>
      </c>
      <c r="F45">
        <v>2</v>
      </c>
      <c r="K45">
        <f t="shared" si="1"/>
        <v>3</v>
      </c>
      <c r="L45">
        <f>_xlfn.XLOOKUP(Tableau3[[#This Row],[Personnes ontologiques]],'TEMPS PAROLE PERS_ONTO'!A:A,'TEMPS PAROLE PERS_ONTO'!B:B)</f>
        <v>2443.5529999999999</v>
      </c>
      <c r="M45">
        <f>Tableau3[[#This Row],[AVOIR L''AIR]]/Tableau3[[#This Row],[Temps de parole total personnes ontologiques]]*600</f>
        <v>0.24554409092006602</v>
      </c>
      <c r="N45">
        <f>Tableau3[[#This Row],[AVOIR L''IMPRESSION]]/Tableau3[[#This Row],[Temps de parole total personnes ontologiques]]*600</f>
        <v>0</v>
      </c>
      <c r="O45">
        <f>Tableau3[[#This Row],[DONNER L''IMPRESSION]]/Tableau3[[#This Row],[Temps de parole total personnes ontologiques]]*600</f>
        <v>0</v>
      </c>
      <c r="P45">
        <f>Tableau3[[#This Row],[PARAITRE]]/Tableau3[[#This Row],[Temps de parole total personnes ontologiques]]*600</f>
        <v>0</v>
      </c>
      <c r="Q45">
        <f>Tableau3[[#This Row],[SEMBLER]]/Tableau3[[#This Row],[Temps de parole total personnes ontologiques]]*600</f>
        <v>0.49108818184013203</v>
      </c>
      <c r="R45">
        <f>Tableau3[[#This Row],[APPAREMMENT]]/Tableau3[[#This Row],[Temps de parole total personnes ontologiques]]*600</f>
        <v>0</v>
      </c>
      <c r="S45">
        <f>Tableau3[[#This Row],[EVIDEMMENT]]/Tableau3[[#This Row],[Temps de parole total personnes ontologiques]]*600</f>
        <v>0</v>
      </c>
      <c r="T45">
        <f>Tableau3[[#This Row],[MANIFESTEMENT]]/Tableau3[[#This Row],[Temps de parole total personnes ontologiques]]*600</f>
        <v>0</v>
      </c>
      <c r="U45">
        <f>Tableau3[[#This Row],[VISIBLEMENT]]/Tableau3[[#This Row],[Temps de parole total personnes ontologiques]]*600</f>
        <v>0</v>
      </c>
      <c r="V45">
        <f>SUM(Tableau3[[#This Row],[avoir l''air '[look like'] per 10 min]:[visiblement '[visibly'] per 10 min]])</f>
        <v>0.73663227276019805</v>
      </c>
    </row>
    <row r="46" spans="1:22" x14ac:dyDescent="0.2">
      <c r="A46" s="3" t="s">
        <v>121</v>
      </c>
      <c r="E46">
        <v>1</v>
      </c>
      <c r="J46">
        <v>1</v>
      </c>
      <c r="K46">
        <f t="shared" si="1"/>
        <v>2</v>
      </c>
      <c r="L46">
        <f>_xlfn.XLOOKUP(Tableau3[[#This Row],[Personnes ontologiques]],'TEMPS PAROLE PERS_ONTO'!A:A,'TEMPS PAROLE PERS_ONTO'!B:B)</f>
        <v>113.158</v>
      </c>
      <c r="M46">
        <f>Tableau3[[#This Row],[AVOIR L''AIR]]/Tableau3[[#This Row],[Temps de parole total personnes ontologiques]]*600</f>
        <v>0</v>
      </c>
      <c r="N46">
        <f>Tableau3[[#This Row],[AVOIR L''IMPRESSION]]/Tableau3[[#This Row],[Temps de parole total personnes ontologiques]]*600</f>
        <v>0</v>
      </c>
      <c r="O46">
        <f>Tableau3[[#This Row],[DONNER L''IMPRESSION]]/Tableau3[[#This Row],[Temps de parole total personnes ontologiques]]*600</f>
        <v>0</v>
      </c>
      <c r="P46">
        <f>Tableau3[[#This Row],[PARAITRE]]/Tableau3[[#This Row],[Temps de parole total personnes ontologiques]]*600</f>
        <v>5.3023206490040478</v>
      </c>
      <c r="Q46">
        <f>Tableau3[[#This Row],[SEMBLER]]/Tableau3[[#This Row],[Temps de parole total personnes ontologiques]]*600</f>
        <v>0</v>
      </c>
      <c r="R46">
        <f>Tableau3[[#This Row],[APPAREMMENT]]/Tableau3[[#This Row],[Temps de parole total personnes ontologiques]]*600</f>
        <v>0</v>
      </c>
      <c r="S46">
        <f>Tableau3[[#This Row],[EVIDEMMENT]]/Tableau3[[#This Row],[Temps de parole total personnes ontologiques]]*600</f>
        <v>0</v>
      </c>
      <c r="T46">
        <f>Tableau3[[#This Row],[MANIFESTEMENT]]/Tableau3[[#This Row],[Temps de parole total personnes ontologiques]]*600</f>
        <v>0</v>
      </c>
      <c r="U46">
        <f>Tableau3[[#This Row],[VISIBLEMENT]]/Tableau3[[#This Row],[Temps de parole total personnes ontologiques]]*600</f>
        <v>5.3023206490040478</v>
      </c>
      <c r="V46">
        <f>SUM(Tableau3[[#This Row],[avoir l''air '[look like'] per 10 min]:[visiblement '[visibly'] per 10 min]])</f>
        <v>10.604641298008096</v>
      </c>
    </row>
    <row r="47" spans="1:22" x14ac:dyDescent="0.2">
      <c r="A47" s="3" t="s">
        <v>58</v>
      </c>
      <c r="B47">
        <v>1</v>
      </c>
      <c r="C47">
        <v>1</v>
      </c>
      <c r="K47">
        <f t="shared" si="1"/>
        <v>2</v>
      </c>
      <c r="L47">
        <f>_xlfn.XLOOKUP(Tableau3[[#This Row],[Personnes ontologiques]],'TEMPS PAROLE PERS_ONTO'!A:A,'TEMPS PAROLE PERS_ONTO'!B:B)</f>
        <v>114.619</v>
      </c>
      <c r="M47">
        <f>Tableau3[[#This Row],[AVOIR L''AIR]]/Tableau3[[#This Row],[Temps de parole total personnes ontologiques]]*600</f>
        <v>5.2347342063706712</v>
      </c>
      <c r="N47">
        <f>Tableau3[[#This Row],[AVOIR L''IMPRESSION]]/Tableau3[[#This Row],[Temps de parole total personnes ontologiques]]*600</f>
        <v>5.2347342063706712</v>
      </c>
      <c r="O47">
        <f>Tableau3[[#This Row],[DONNER L''IMPRESSION]]/Tableau3[[#This Row],[Temps de parole total personnes ontologiques]]*600</f>
        <v>0</v>
      </c>
      <c r="P47">
        <f>Tableau3[[#This Row],[PARAITRE]]/Tableau3[[#This Row],[Temps de parole total personnes ontologiques]]*600</f>
        <v>0</v>
      </c>
      <c r="Q47">
        <f>Tableau3[[#This Row],[SEMBLER]]/Tableau3[[#This Row],[Temps de parole total personnes ontologiques]]*600</f>
        <v>0</v>
      </c>
      <c r="R47">
        <f>Tableau3[[#This Row],[APPAREMMENT]]/Tableau3[[#This Row],[Temps de parole total personnes ontologiques]]*600</f>
        <v>0</v>
      </c>
      <c r="S47">
        <f>Tableau3[[#This Row],[EVIDEMMENT]]/Tableau3[[#This Row],[Temps de parole total personnes ontologiques]]*600</f>
        <v>0</v>
      </c>
      <c r="T47">
        <f>Tableau3[[#This Row],[MANIFESTEMENT]]/Tableau3[[#This Row],[Temps de parole total personnes ontologiques]]*600</f>
        <v>0</v>
      </c>
      <c r="U47">
        <f>Tableau3[[#This Row],[VISIBLEMENT]]/Tableau3[[#This Row],[Temps de parole total personnes ontologiques]]*600</f>
        <v>0</v>
      </c>
      <c r="V47">
        <f>SUM(Tableau3[[#This Row],[avoir l''air '[look like'] per 10 min]:[visiblement '[visibly'] per 10 min]])</f>
        <v>10.469468412741342</v>
      </c>
    </row>
    <row r="48" spans="1:22" x14ac:dyDescent="0.2">
      <c r="A48" s="3" t="s">
        <v>164</v>
      </c>
      <c r="C48">
        <v>2</v>
      </c>
      <c r="K48">
        <f t="shared" si="1"/>
        <v>2</v>
      </c>
      <c r="L48">
        <f>_xlfn.XLOOKUP(Tableau3[[#This Row],[Personnes ontologiques]],'TEMPS PAROLE PERS_ONTO'!A:A,'TEMPS PAROLE PERS_ONTO'!B:B)</f>
        <v>152.423</v>
      </c>
      <c r="M48">
        <f>Tableau3[[#This Row],[AVOIR L''AIR]]/Tableau3[[#This Row],[Temps de parole total personnes ontologiques]]*600</f>
        <v>0</v>
      </c>
      <c r="N48">
        <f>Tableau3[[#This Row],[AVOIR L''IMPRESSION]]/Tableau3[[#This Row],[Temps de parole total personnes ontologiques]]*600</f>
        <v>7.8728275916364332</v>
      </c>
      <c r="O48">
        <f>Tableau3[[#This Row],[DONNER L''IMPRESSION]]/Tableau3[[#This Row],[Temps de parole total personnes ontologiques]]*600</f>
        <v>0</v>
      </c>
      <c r="P48">
        <f>Tableau3[[#This Row],[PARAITRE]]/Tableau3[[#This Row],[Temps de parole total personnes ontologiques]]*600</f>
        <v>0</v>
      </c>
      <c r="Q48">
        <f>Tableau3[[#This Row],[SEMBLER]]/Tableau3[[#This Row],[Temps de parole total personnes ontologiques]]*600</f>
        <v>0</v>
      </c>
      <c r="R48">
        <f>Tableau3[[#This Row],[APPAREMMENT]]/Tableau3[[#This Row],[Temps de parole total personnes ontologiques]]*600</f>
        <v>0</v>
      </c>
      <c r="S48">
        <f>Tableau3[[#This Row],[EVIDEMMENT]]/Tableau3[[#This Row],[Temps de parole total personnes ontologiques]]*600</f>
        <v>0</v>
      </c>
      <c r="T48">
        <f>Tableau3[[#This Row],[MANIFESTEMENT]]/Tableau3[[#This Row],[Temps de parole total personnes ontologiques]]*600</f>
        <v>0</v>
      </c>
      <c r="U48">
        <f>Tableau3[[#This Row],[VISIBLEMENT]]/Tableau3[[#This Row],[Temps de parole total personnes ontologiques]]*600</f>
        <v>0</v>
      </c>
      <c r="V48">
        <f>SUM(Tableau3[[#This Row],[avoir l''air '[look like'] per 10 min]:[visiblement '[visibly'] per 10 min]])</f>
        <v>7.8728275916364332</v>
      </c>
    </row>
    <row r="49" spans="1:22" x14ac:dyDescent="0.2">
      <c r="A49" s="3" t="s">
        <v>198</v>
      </c>
      <c r="H49">
        <v>1</v>
      </c>
      <c r="J49">
        <v>1</v>
      </c>
      <c r="K49">
        <f t="shared" si="1"/>
        <v>2</v>
      </c>
      <c r="L49">
        <f>_xlfn.XLOOKUP(Tableau3[[#This Row],[Personnes ontologiques]],'TEMPS PAROLE PERS_ONTO'!A:A,'TEMPS PAROLE PERS_ONTO'!B:B)</f>
        <v>164.51499999999999</v>
      </c>
      <c r="M49">
        <f>Tableau3[[#This Row],[AVOIR L''AIR]]/Tableau3[[#This Row],[Temps de parole total personnes ontologiques]]*600</f>
        <v>0</v>
      </c>
      <c r="N49">
        <f>Tableau3[[#This Row],[AVOIR L''IMPRESSION]]/Tableau3[[#This Row],[Temps de parole total personnes ontologiques]]*600</f>
        <v>0</v>
      </c>
      <c r="O49">
        <f>Tableau3[[#This Row],[DONNER L''IMPRESSION]]/Tableau3[[#This Row],[Temps de parole total personnes ontologiques]]*600</f>
        <v>0</v>
      </c>
      <c r="P49">
        <f>Tableau3[[#This Row],[PARAITRE]]/Tableau3[[#This Row],[Temps de parole total personnes ontologiques]]*600</f>
        <v>0</v>
      </c>
      <c r="Q49">
        <f>Tableau3[[#This Row],[SEMBLER]]/Tableau3[[#This Row],[Temps de parole total personnes ontologiques]]*600</f>
        <v>0</v>
      </c>
      <c r="R49">
        <f>Tableau3[[#This Row],[APPAREMMENT]]/Tableau3[[#This Row],[Temps de parole total personnes ontologiques]]*600</f>
        <v>0</v>
      </c>
      <c r="S49">
        <f>Tableau3[[#This Row],[EVIDEMMENT]]/Tableau3[[#This Row],[Temps de parole total personnes ontologiques]]*600</f>
        <v>3.6470838525362432</v>
      </c>
      <c r="T49">
        <f>Tableau3[[#This Row],[MANIFESTEMENT]]/Tableau3[[#This Row],[Temps de parole total personnes ontologiques]]*600</f>
        <v>0</v>
      </c>
      <c r="U49">
        <f>Tableau3[[#This Row],[VISIBLEMENT]]/Tableau3[[#This Row],[Temps de parole total personnes ontologiques]]*600</f>
        <v>3.6470838525362432</v>
      </c>
      <c r="V49">
        <f>SUM(Tableau3[[#This Row],[avoir l''air '[look like'] per 10 min]:[visiblement '[visibly'] per 10 min]])</f>
        <v>7.2941677050724865</v>
      </c>
    </row>
    <row r="50" spans="1:22" x14ac:dyDescent="0.2">
      <c r="A50" s="3" t="s">
        <v>162</v>
      </c>
      <c r="C50">
        <v>2</v>
      </c>
      <c r="K50">
        <f t="shared" si="1"/>
        <v>2</v>
      </c>
      <c r="L50">
        <f>_xlfn.XLOOKUP(Tableau3[[#This Row],[Personnes ontologiques]],'TEMPS PAROLE PERS_ONTO'!A:A,'TEMPS PAROLE PERS_ONTO'!B:B)</f>
        <v>200.97900000000001</v>
      </c>
      <c r="M50">
        <f>Tableau3[[#This Row],[AVOIR L''AIR]]/Tableau3[[#This Row],[Temps de parole total personnes ontologiques]]*600</f>
        <v>0</v>
      </c>
      <c r="N50">
        <f>Tableau3[[#This Row],[AVOIR L''IMPRESSION]]/Tableau3[[#This Row],[Temps de parole total personnes ontologiques]]*600</f>
        <v>5.9707730658426996</v>
      </c>
      <c r="O50">
        <f>Tableau3[[#This Row],[DONNER L''IMPRESSION]]/Tableau3[[#This Row],[Temps de parole total personnes ontologiques]]*600</f>
        <v>0</v>
      </c>
      <c r="P50">
        <f>Tableau3[[#This Row],[PARAITRE]]/Tableau3[[#This Row],[Temps de parole total personnes ontologiques]]*600</f>
        <v>0</v>
      </c>
      <c r="Q50">
        <f>Tableau3[[#This Row],[SEMBLER]]/Tableau3[[#This Row],[Temps de parole total personnes ontologiques]]*600</f>
        <v>0</v>
      </c>
      <c r="R50">
        <f>Tableau3[[#This Row],[APPAREMMENT]]/Tableau3[[#This Row],[Temps de parole total personnes ontologiques]]*600</f>
        <v>0</v>
      </c>
      <c r="S50">
        <f>Tableau3[[#This Row],[EVIDEMMENT]]/Tableau3[[#This Row],[Temps de parole total personnes ontologiques]]*600</f>
        <v>0</v>
      </c>
      <c r="T50">
        <f>Tableau3[[#This Row],[MANIFESTEMENT]]/Tableau3[[#This Row],[Temps de parole total personnes ontologiques]]*600</f>
        <v>0</v>
      </c>
      <c r="U50">
        <f>Tableau3[[#This Row],[VISIBLEMENT]]/Tableau3[[#This Row],[Temps de parole total personnes ontologiques]]*600</f>
        <v>0</v>
      </c>
      <c r="V50">
        <f>SUM(Tableau3[[#This Row],[avoir l''air '[look like'] per 10 min]:[visiblement '[visibly'] per 10 min]])</f>
        <v>5.9707730658426996</v>
      </c>
    </row>
    <row r="51" spans="1:22" x14ac:dyDescent="0.2">
      <c r="A51" s="3" t="s">
        <v>97</v>
      </c>
      <c r="C51">
        <v>1</v>
      </c>
      <c r="G51">
        <v>1</v>
      </c>
      <c r="K51">
        <f t="shared" si="1"/>
        <v>2</v>
      </c>
      <c r="L51">
        <f>_xlfn.XLOOKUP(Tableau3[[#This Row],[Personnes ontologiques]],'TEMPS PAROLE PERS_ONTO'!A:A,'TEMPS PAROLE PERS_ONTO'!B:B)</f>
        <v>205.71199999999999</v>
      </c>
      <c r="M51">
        <f>Tableau3[[#This Row],[AVOIR L''AIR]]/Tableau3[[#This Row],[Temps de parole total personnes ontologiques]]*600</f>
        <v>0</v>
      </c>
      <c r="N51">
        <f>Tableau3[[#This Row],[AVOIR L''IMPRESSION]]/Tableau3[[#This Row],[Temps de parole total personnes ontologiques]]*600</f>
        <v>2.916699074434161</v>
      </c>
      <c r="O51">
        <f>Tableau3[[#This Row],[DONNER L''IMPRESSION]]/Tableau3[[#This Row],[Temps de parole total personnes ontologiques]]*600</f>
        <v>0</v>
      </c>
      <c r="P51">
        <f>Tableau3[[#This Row],[PARAITRE]]/Tableau3[[#This Row],[Temps de parole total personnes ontologiques]]*600</f>
        <v>0</v>
      </c>
      <c r="Q51">
        <f>Tableau3[[#This Row],[SEMBLER]]/Tableau3[[#This Row],[Temps de parole total personnes ontologiques]]*600</f>
        <v>0</v>
      </c>
      <c r="R51">
        <f>Tableau3[[#This Row],[APPAREMMENT]]/Tableau3[[#This Row],[Temps de parole total personnes ontologiques]]*600</f>
        <v>2.916699074434161</v>
      </c>
      <c r="S51">
        <f>Tableau3[[#This Row],[EVIDEMMENT]]/Tableau3[[#This Row],[Temps de parole total personnes ontologiques]]*600</f>
        <v>0</v>
      </c>
      <c r="T51">
        <f>Tableau3[[#This Row],[MANIFESTEMENT]]/Tableau3[[#This Row],[Temps de parole total personnes ontologiques]]*600</f>
        <v>0</v>
      </c>
      <c r="U51">
        <f>Tableau3[[#This Row],[VISIBLEMENT]]/Tableau3[[#This Row],[Temps de parole total personnes ontologiques]]*600</f>
        <v>0</v>
      </c>
      <c r="V51">
        <f>SUM(Tableau3[[#This Row],[avoir l''air '[look like'] per 10 min]:[visiblement '[visibly'] per 10 min]])</f>
        <v>5.833398148868322</v>
      </c>
    </row>
    <row r="52" spans="1:22" x14ac:dyDescent="0.2">
      <c r="A52" s="3" t="s">
        <v>199</v>
      </c>
      <c r="H52">
        <v>2</v>
      </c>
      <c r="K52">
        <f t="shared" si="1"/>
        <v>2</v>
      </c>
      <c r="L52">
        <f>_xlfn.XLOOKUP(Tableau3[[#This Row],[Personnes ontologiques]],'TEMPS PAROLE PERS_ONTO'!A:A,'TEMPS PAROLE PERS_ONTO'!B:B)</f>
        <v>278.74299999999999</v>
      </c>
      <c r="M52">
        <f>Tableau3[[#This Row],[AVOIR L''AIR]]/Tableau3[[#This Row],[Temps de parole total personnes ontologiques]]*600</f>
        <v>0</v>
      </c>
      <c r="N52">
        <f>Tableau3[[#This Row],[AVOIR L''IMPRESSION]]/Tableau3[[#This Row],[Temps de parole total personnes ontologiques]]*600</f>
        <v>0</v>
      </c>
      <c r="O52">
        <f>Tableau3[[#This Row],[DONNER L''IMPRESSION]]/Tableau3[[#This Row],[Temps de parole total personnes ontologiques]]*600</f>
        <v>0</v>
      </c>
      <c r="P52">
        <f>Tableau3[[#This Row],[PARAITRE]]/Tableau3[[#This Row],[Temps de parole total personnes ontologiques]]*600</f>
        <v>0</v>
      </c>
      <c r="Q52">
        <f>Tableau3[[#This Row],[SEMBLER]]/Tableau3[[#This Row],[Temps de parole total personnes ontologiques]]*600</f>
        <v>0</v>
      </c>
      <c r="R52">
        <f>Tableau3[[#This Row],[APPAREMMENT]]/Tableau3[[#This Row],[Temps de parole total personnes ontologiques]]*600</f>
        <v>0</v>
      </c>
      <c r="S52">
        <f>Tableau3[[#This Row],[EVIDEMMENT]]/Tableau3[[#This Row],[Temps de parole total personnes ontologiques]]*600</f>
        <v>4.3050408440750081</v>
      </c>
      <c r="T52">
        <f>Tableau3[[#This Row],[MANIFESTEMENT]]/Tableau3[[#This Row],[Temps de parole total personnes ontologiques]]*600</f>
        <v>0</v>
      </c>
      <c r="U52">
        <f>Tableau3[[#This Row],[VISIBLEMENT]]/Tableau3[[#This Row],[Temps de parole total personnes ontologiques]]*600</f>
        <v>0</v>
      </c>
      <c r="V52">
        <f>SUM(Tableau3[[#This Row],[avoir l''air '[look like'] per 10 min]:[visiblement '[visibly'] per 10 min]])</f>
        <v>4.3050408440750081</v>
      </c>
    </row>
    <row r="53" spans="1:22" x14ac:dyDescent="0.2">
      <c r="A53" s="3" t="s">
        <v>137</v>
      </c>
      <c r="F53">
        <v>1</v>
      </c>
      <c r="I53">
        <v>1</v>
      </c>
      <c r="K53">
        <f t="shared" si="1"/>
        <v>2</v>
      </c>
      <c r="L53">
        <f>_xlfn.XLOOKUP(Tableau3[[#This Row],[Personnes ontologiques]],'TEMPS PAROLE PERS_ONTO'!A:A,'TEMPS PAROLE PERS_ONTO'!B:B)</f>
        <v>861.04300000000001</v>
      </c>
      <c r="M53">
        <f>Tableau3[[#This Row],[AVOIR L''AIR]]/Tableau3[[#This Row],[Temps de parole total personnes ontologiques]]*600</f>
        <v>0</v>
      </c>
      <c r="N53">
        <f>Tableau3[[#This Row],[AVOIR L''IMPRESSION]]/Tableau3[[#This Row],[Temps de parole total personnes ontologiques]]*600</f>
        <v>0</v>
      </c>
      <c r="O53">
        <f>Tableau3[[#This Row],[DONNER L''IMPRESSION]]/Tableau3[[#This Row],[Temps de parole total personnes ontologiques]]*600</f>
        <v>0</v>
      </c>
      <c r="P53">
        <f>Tableau3[[#This Row],[PARAITRE]]/Tableau3[[#This Row],[Temps de parole total personnes ontologiques]]*600</f>
        <v>0</v>
      </c>
      <c r="Q53">
        <f>Tableau3[[#This Row],[SEMBLER]]/Tableau3[[#This Row],[Temps de parole total personnes ontologiques]]*600</f>
        <v>0.69682931049901098</v>
      </c>
      <c r="R53">
        <f>Tableau3[[#This Row],[APPAREMMENT]]/Tableau3[[#This Row],[Temps de parole total personnes ontologiques]]*600</f>
        <v>0</v>
      </c>
      <c r="S53">
        <f>Tableau3[[#This Row],[EVIDEMMENT]]/Tableau3[[#This Row],[Temps de parole total personnes ontologiques]]*600</f>
        <v>0</v>
      </c>
      <c r="T53">
        <f>Tableau3[[#This Row],[MANIFESTEMENT]]/Tableau3[[#This Row],[Temps de parole total personnes ontologiques]]*600</f>
        <v>0.69682931049901098</v>
      </c>
      <c r="U53">
        <f>Tableau3[[#This Row],[VISIBLEMENT]]/Tableau3[[#This Row],[Temps de parole total personnes ontologiques]]*600</f>
        <v>0</v>
      </c>
      <c r="V53">
        <f>SUM(Tableau3[[#This Row],[avoir l''air '[look like'] per 10 min]:[visiblement '[visibly'] per 10 min]])</f>
        <v>1.393658620998022</v>
      </c>
    </row>
    <row r="54" spans="1:22" x14ac:dyDescent="0.2">
      <c r="A54" s="3" t="s">
        <v>132</v>
      </c>
      <c r="F54">
        <v>2</v>
      </c>
      <c r="K54">
        <f t="shared" si="1"/>
        <v>2</v>
      </c>
      <c r="L54">
        <f>_xlfn.XLOOKUP(Tableau3[[#This Row],[Personnes ontologiques]],'TEMPS PAROLE PERS_ONTO'!A:A,'TEMPS PAROLE PERS_ONTO'!B:B)</f>
        <v>934.69200000000001</v>
      </c>
      <c r="M54">
        <f>Tableau3[[#This Row],[AVOIR L''AIR]]/Tableau3[[#This Row],[Temps de parole total personnes ontologiques]]*600</f>
        <v>0</v>
      </c>
      <c r="N54">
        <f>Tableau3[[#This Row],[AVOIR L''IMPRESSION]]/Tableau3[[#This Row],[Temps de parole total personnes ontologiques]]*600</f>
        <v>0</v>
      </c>
      <c r="O54">
        <f>Tableau3[[#This Row],[DONNER L''IMPRESSION]]/Tableau3[[#This Row],[Temps de parole total personnes ontologiques]]*600</f>
        <v>0</v>
      </c>
      <c r="P54">
        <f>Tableau3[[#This Row],[PARAITRE]]/Tableau3[[#This Row],[Temps de parole total personnes ontologiques]]*600</f>
        <v>0</v>
      </c>
      <c r="Q54">
        <f>Tableau3[[#This Row],[SEMBLER]]/Tableau3[[#This Row],[Temps de parole total personnes ontologiques]]*600</f>
        <v>1.2838453736631961</v>
      </c>
      <c r="R54">
        <f>Tableau3[[#This Row],[APPAREMMENT]]/Tableau3[[#This Row],[Temps de parole total personnes ontologiques]]*600</f>
        <v>0</v>
      </c>
      <c r="S54">
        <f>Tableau3[[#This Row],[EVIDEMMENT]]/Tableau3[[#This Row],[Temps de parole total personnes ontologiques]]*600</f>
        <v>0</v>
      </c>
      <c r="T54">
        <f>Tableau3[[#This Row],[MANIFESTEMENT]]/Tableau3[[#This Row],[Temps de parole total personnes ontologiques]]*600</f>
        <v>0</v>
      </c>
      <c r="U54">
        <f>Tableau3[[#This Row],[VISIBLEMENT]]/Tableau3[[#This Row],[Temps de parole total personnes ontologiques]]*600</f>
        <v>0</v>
      </c>
      <c r="V54">
        <f>SUM(Tableau3[[#This Row],[avoir l''air '[look like'] per 10 min]:[visiblement '[visibly'] per 10 min]])</f>
        <v>1.2838453736631961</v>
      </c>
    </row>
    <row r="55" spans="1:22" x14ac:dyDescent="0.2">
      <c r="A55" s="3" t="s">
        <v>94</v>
      </c>
      <c r="F55">
        <v>1</v>
      </c>
      <c r="G55">
        <v>1</v>
      </c>
      <c r="K55">
        <f t="shared" si="1"/>
        <v>2</v>
      </c>
      <c r="L55">
        <f>_xlfn.XLOOKUP(Tableau3[[#This Row],[Personnes ontologiques]],'TEMPS PAROLE PERS_ONTO'!A:A,'TEMPS PAROLE PERS_ONTO'!B:B)</f>
        <v>1662.3710000000001</v>
      </c>
      <c r="M55">
        <f>Tableau3[[#This Row],[AVOIR L''AIR]]/Tableau3[[#This Row],[Temps de parole total personnes ontologiques]]*600</f>
        <v>0</v>
      </c>
      <c r="N55">
        <f>Tableau3[[#This Row],[AVOIR L''IMPRESSION]]/Tableau3[[#This Row],[Temps de parole total personnes ontologiques]]*600</f>
        <v>0</v>
      </c>
      <c r="O55">
        <f>Tableau3[[#This Row],[DONNER L''IMPRESSION]]/Tableau3[[#This Row],[Temps de parole total personnes ontologiques]]*600</f>
        <v>0</v>
      </c>
      <c r="P55">
        <f>Tableau3[[#This Row],[PARAITRE]]/Tableau3[[#This Row],[Temps de parole total personnes ontologiques]]*600</f>
        <v>0</v>
      </c>
      <c r="Q55">
        <f>Tableau3[[#This Row],[SEMBLER]]/Tableau3[[#This Row],[Temps de parole total personnes ontologiques]]*600</f>
        <v>0.36093026165639314</v>
      </c>
      <c r="R55">
        <f>Tableau3[[#This Row],[APPAREMMENT]]/Tableau3[[#This Row],[Temps de parole total personnes ontologiques]]*600</f>
        <v>0.36093026165639314</v>
      </c>
      <c r="S55">
        <f>Tableau3[[#This Row],[EVIDEMMENT]]/Tableau3[[#This Row],[Temps de parole total personnes ontologiques]]*600</f>
        <v>0</v>
      </c>
      <c r="T55">
        <f>Tableau3[[#This Row],[MANIFESTEMENT]]/Tableau3[[#This Row],[Temps de parole total personnes ontologiques]]*600</f>
        <v>0</v>
      </c>
      <c r="U55">
        <f>Tableau3[[#This Row],[VISIBLEMENT]]/Tableau3[[#This Row],[Temps de parole total personnes ontologiques]]*600</f>
        <v>0</v>
      </c>
      <c r="V55">
        <f>SUM(Tableau3[[#This Row],[avoir l''air '[look like'] per 10 min]:[visiblement '[visibly'] per 10 min]])</f>
        <v>0.72186052331278627</v>
      </c>
    </row>
    <row r="56" spans="1:22" x14ac:dyDescent="0.2">
      <c r="A56" s="3" t="s">
        <v>84</v>
      </c>
      <c r="C56">
        <v>1</v>
      </c>
      <c r="F56">
        <v>1</v>
      </c>
      <c r="K56">
        <f t="shared" si="1"/>
        <v>2</v>
      </c>
      <c r="L56">
        <f>_xlfn.XLOOKUP(Tableau3[[#This Row],[Personnes ontologiques]],'TEMPS PAROLE PERS_ONTO'!A:A,'TEMPS PAROLE PERS_ONTO'!B:B)</f>
        <v>1789.854</v>
      </c>
      <c r="M56">
        <f>Tableau3[[#This Row],[AVOIR L''AIR]]/Tableau3[[#This Row],[Temps de parole total personnes ontologiques]]*600</f>
        <v>0</v>
      </c>
      <c r="N56">
        <f>Tableau3[[#This Row],[AVOIR L''IMPRESSION]]/Tableau3[[#This Row],[Temps de parole total personnes ontologiques]]*600</f>
        <v>0.33522287292706554</v>
      </c>
      <c r="O56">
        <f>Tableau3[[#This Row],[DONNER L''IMPRESSION]]/Tableau3[[#This Row],[Temps de parole total personnes ontologiques]]*600</f>
        <v>0</v>
      </c>
      <c r="P56">
        <f>Tableau3[[#This Row],[PARAITRE]]/Tableau3[[#This Row],[Temps de parole total personnes ontologiques]]*600</f>
        <v>0</v>
      </c>
      <c r="Q56">
        <f>Tableau3[[#This Row],[SEMBLER]]/Tableau3[[#This Row],[Temps de parole total personnes ontologiques]]*600</f>
        <v>0.33522287292706554</v>
      </c>
      <c r="R56">
        <f>Tableau3[[#This Row],[APPAREMMENT]]/Tableau3[[#This Row],[Temps de parole total personnes ontologiques]]*600</f>
        <v>0</v>
      </c>
      <c r="S56">
        <f>Tableau3[[#This Row],[EVIDEMMENT]]/Tableau3[[#This Row],[Temps de parole total personnes ontologiques]]*600</f>
        <v>0</v>
      </c>
      <c r="T56">
        <f>Tableau3[[#This Row],[MANIFESTEMENT]]/Tableau3[[#This Row],[Temps de parole total personnes ontologiques]]*600</f>
        <v>0</v>
      </c>
      <c r="U56">
        <f>Tableau3[[#This Row],[VISIBLEMENT]]/Tableau3[[#This Row],[Temps de parole total personnes ontologiques]]*600</f>
        <v>0</v>
      </c>
      <c r="V56">
        <f>SUM(Tableau3[[#This Row],[avoir l''air '[look like'] per 10 min]:[visiblement '[visibly'] per 10 min]])</f>
        <v>0.67044574585413108</v>
      </c>
    </row>
    <row r="57" spans="1:22" x14ac:dyDescent="0.2">
      <c r="A57" s="3" t="s">
        <v>175</v>
      </c>
      <c r="F57">
        <v>1</v>
      </c>
      <c r="G57">
        <v>1</v>
      </c>
      <c r="K57">
        <f t="shared" si="1"/>
        <v>2</v>
      </c>
      <c r="L57">
        <f>_xlfn.XLOOKUP(Tableau3[[#This Row],[Personnes ontologiques]],'TEMPS PAROLE PERS_ONTO'!A:A,'TEMPS PAROLE PERS_ONTO'!B:B)</f>
        <v>2936.32</v>
      </c>
      <c r="M57">
        <f>Tableau3[[#This Row],[AVOIR L''AIR]]/Tableau3[[#This Row],[Temps de parole total personnes ontologiques]]*600</f>
        <v>0</v>
      </c>
      <c r="N57">
        <f>Tableau3[[#This Row],[AVOIR L''IMPRESSION]]/Tableau3[[#This Row],[Temps de parole total personnes ontologiques]]*600</f>
        <v>0</v>
      </c>
      <c r="O57">
        <f>Tableau3[[#This Row],[DONNER L''IMPRESSION]]/Tableau3[[#This Row],[Temps de parole total personnes ontologiques]]*600</f>
        <v>0</v>
      </c>
      <c r="P57">
        <f>Tableau3[[#This Row],[PARAITRE]]/Tableau3[[#This Row],[Temps de parole total personnes ontologiques]]*600</f>
        <v>0</v>
      </c>
      <c r="Q57">
        <f>Tableau3[[#This Row],[SEMBLER]]/Tableau3[[#This Row],[Temps de parole total personnes ontologiques]]*600</f>
        <v>0.20433740191804708</v>
      </c>
      <c r="R57">
        <f>Tableau3[[#This Row],[APPAREMMENT]]/Tableau3[[#This Row],[Temps de parole total personnes ontologiques]]*600</f>
        <v>0.20433740191804708</v>
      </c>
      <c r="S57">
        <f>Tableau3[[#This Row],[EVIDEMMENT]]/Tableau3[[#This Row],[Temps de parole total personnes ontologiques]]*600</f>
        <v>0</v>
      </c>
      <c r="T57">
        <f>Tableau3[[#This Row],[MANIFESTEMENT]]/Tableau3[[#This Row],[Temps de parole total personnes ontologiques]]*600</f>
        <v>0</v>
      </c>
      <c r="U57">
        <f>Tableau3[[#This Row],[VISIBLEMENT]]/Tableau3[[#This Row],[Temps de parole total personnes ontologiques]]*600</f>
        <v>0</v>
      </c>
      <c r="V57">
        <f>SUM(Tableau3[[#This Row],[avoir l''air '[look like'] per 10 min]:[visiblement '[visibly'] per 10 min]])</f>
        <v>0.40867480383609417</v>
      </c>
    </row>
    <row r="58" spans="1:22" x14ac:dyDescent="0.2">
      <c r="A58" s="3" t="s">
        <v>183</v>
      </c>
      <c r="G58">
        <v>1</v>
      </c>
      <c r="K58">
        <f t="shared" si="1"/>
        <v>1</v>
      </c>
      <c r="L58">
        <f>_xlfn.XLOOKUP(Tableau3[[#This Row],[Personnes ontologiques]],'TEMPS PAROLE PERS_ONTO'!A:A,'TEMPS PAROLE PERS_ONTO'!B:B)</f>
        <v>17.957999999999998</v>
      </c>
      <c r="M58">
        <f>Tableau3[[#This Row],[AVOIR L''AIR]]/Tableau3[[#This Row],[Temps de parole total personnes ontologiques]]*600</f>
        <v>0</v>
      </c>
      <c r="N58">
        <f>Tableau3[[#This Row],[AVOIR L''IMPRESSION]]/Tableau3[[#This Row],[Temps de parole total personnes ontologiques]]*600</f>
        <v>0</v>
      </c>
      <c r="O58">
        <f>Tableau3[[#This Row],[DONNER L''IMPRESSION]]/Tableau3[[#This Row],[Temps de parole total personnes ontologiques]]*600</f>
        <v>0</v>
      </c>
      <c r="P58">
        <f>Tableau3[[#This Row],[PARAITRE]]/Tableau3[[#This Row],[Temps de parole total personnes ontologiques]]*600</f>
        <v>0</v>
      </c>
      <c r="Q58">
        <f>Tableau3[[#This Row],[SEMBLER]]/Tableau3[[#This Row],[Temps de parole total personnes ontologiques]]*600</f>
        <v>0</v>
      </c>
      <c r="R58">
        <f>Tableau3[[#This Row],[APPAREMMENT]]/Tableau3[[#This Row],[Temps de parole total personnes ontologiques]]*600</f>
        <v>33.411293017039768</v>
      </c>
      <c r="S58">
        <f>Tableau3[[#This Row],[EVIDEMMENT]]/Tableau3[[#This Row],[Temps de parole total personnes ontologiques]]*600</f>
        <v>0</v>
      </c>
      <c r="T58">
        <f>Tableau3[[#This Row],[MANIFESTEMENT]]/Tableau3[[#This Row],[Temps de parole total personnes ontologiques]]*600</f>
        <v>0</v>
      </c>
      <c r="U58">
        <f>Tableau3[[#This Row],[VISIBLEMENT]]/Tableau3[[#This Row],[Temps de parole total personnes ontologiques]]*600</f>
        <v>0</v>
      </c>
      <c r="V58">
        <f>SUM(Tableau3[[#This Row],[avoir l''air '[look like'] per 10 min]:[visiblement '[visibly'] per 10 min]])</f>
        <v>33.411293017039768</v>
      </c>
    </row>
    <row r="59" spans="1:22" x14ac:dyDescent="0.2">
      <c r="A59" s="3" t="s">
        <v>140</v>
      </c>
      <c r="F59">
        <v>1</v>
      </c>
      <c r="K59">
        <f t="shared" si="1"/>
        <v>1</v>
      </c>
      <c r="L59">
        <f>_xlfn.XLOOKUP(Tableau3[[#This Row],[Personnes ontologiques]],'TEMPS PAROLE PERS_ONTO'!A:A,'TEMPS PAROLE PERS_ONTO'!B:B)</f>
        <v>49.311</v>
      </c>
      <c r="M59">
        <f>Tableau3[[#This Row],[AVOIR L''AIR]]/Tableau3[[#This Row],[Temps de parole total personnes ontologiques]]*600</f>
        <v>0</v>
      </c>
      <c r="N59">
        <f>Tableau3[[#This Row],[AVOIR L''IMPRESSION]]/Tableau3[[#This Row],[Temps de parole total personnes ontologiques]]*600</f>
        <v>0</v>
      </c>
      <c r="O59">
        <f>Tableau3[[#This Row],[DONNER L''IMPRESSION]]/Tableau3[[#This Row],[Temps de parole total personnes ontologiques]]*600</f>
        <v>0</v>
      </c>
      <c r="P59">
        <f>Tableau3[[#This Row],[PARAITRE]]/Tableau3[[#This Row],[Temps de parole total personnes ontologiques]]*600</f>
        <v>0</v>
      </c>
      <c r="Q59">
        <f>Tableau3[[#This Row],[SEMBLER]]/Tableau3[[#This Row],[Temps de parole total personnes ontologiques]]*600</f>
        <v>12.167670499482874</v>
      </c>
      <c r="R59">
        <f>Tableau3[[#This Row],[APPAREMMENT]]/Tableau3[[#This Row],[Temps de parole total personnes ontologiques]]*600</f>
        <v>0</v>
      </c>
      <c r="S59">
        <f>Tableau3[[#This Row],[EVIDEMMENT]]/Tableau3[[#This Row],[Temps de parole total personnes ontologiques]]*600</f>
        <v>0</v>
      </c>
      <c r="T59">
        <f>Tableau3[[#This Row],[MANIFESTEMENT]]/Tableau3[[#This Row],[Temps de parole total personnes ontologiques]]*600</f>
        <v>0</v>
      </c>
      <c r="U59">
        <f>Tableau3[[#This Row],[VISIBLEMENT]]/Tableau3[[#This Row],[Temps de parole total personnes ontologiques]]*600</f>
        <v>0</v>
      </c>
      <c r="V59">
        <f>SUM(Tableau3[[#This Row],[avoir l''air '[look like'] per 10 min]:[visiblement '[visibly'] per 10 min]])</f>
        <v>12.167670499482874</v>
      </c>
    </row>
    <row r="60" spans="1:22" x14ac:dyDescent="0.2">
      <c r="A60" s="3" t="s">
        <v>202</v>
      </c>
      <c r="H60">
        <v>1</v>
      </c>
      <c r="K60">
        <f t="shared" si="1"/>
        <v>1</v>
      </c>
      <c r="L60">
        <f>_xlfn.XLOOKUP(Tableau3[[#This Row],[Personnes ontologiques]],'TEMPS PAROLE PERS_ONTO'!A:A,'TEMPS PAROLE PERS_ONTO'!B:B)</f>
        <v>80.379000000000005</v>
      </c>
      <c r="M60">
        <f>Tableau3[[#This Row],[AVOIR L''AIR]]/Tableau3[[#This Row],[Temps de parole total personnes ontologiques]]*600</f>
        <v>0</v>
      </c>
      <c r="N60">
        <f>Tableau3[[#This Row],[AVOIR L''IMPRESSION]]/Tableau3[[#This Row],[Temps de parole total personnes ontologiques]]*600</f>
        <v>0</v>
      </c>
      <c r="O60">
        <f>Tableau3[[#This Row],[DONNER L''IMPRESSION]]/Tableau3[[#This Row],[Temps de parole total personnes ontologiques]]*600</f>
        <v>0</v>
      </c>
      <c r="P60">
        <f>Tableau3[[#This Row],[PARAITRE]]/Tableau3[[#This Row],[Temps de parole total personnes ontologiques]]*600</f>
        <v>0</v>
      </c>
      <c r="Q60">
        <f>Tableau3[[#This Row],[SEMBLER]]/Tableau3[[#This Row],[Temps de parole total personnes ontologiques]]*600</f>
        <v>0</v>
      </c>
      <c r="R60">
        <f>Tableau3[[#This Row],[APPAREMMENT]]/Tableau3[[#This Row],[Temps de parole total personnes ontologiques]]*600</f>
        <v>0</v>
      </c>
      <c r="S60">
        <f>Tableau3[[#This Row],[EVIDEMMENT]]/Tableau3[[#This Row],[Temps de parole total personnes ontologiques]]*600</f>
        <v>7.4646362855969839</v>
      </c>
      <c r="T60">
        <f>Tableau3[[#This Row],[MANIFESTEMENT]]/Tableau3[[#This Row],[Temps de parole total personnes ontologiques]]*600</f>
        <v>0</v>
      </c>
      <c r="U60">
        <f>Tableau3[[#This Row],[VISIBLEMENT]]/Tableau3[[#This Row],[Temps de parole total personnes ontologiques]]*600</f>
        <v>0</v>
      </c>
      <c r="V60">
        <f>SUM(Tableau3[[#This Row],[avoir l''air '[look like'] per 10 min]:[visiblement '[visibly'] per 10 min]])</f>
        <v>7.4646362855969839</v>
      </c>
    </row>
    <row r="61" spans="1:22" x14ac:dyDescent="0.2">
      <c r="A61" s="3" t="s">
        <v>160</v>
      </c>
      <c r="C61">
        <v>1</v>
      </c>
      <c r="K61">
        <f t="shared" si="1"/>
        <v>1</v>
      </c>
      <c r="L61">
        <f>_xlfn.XLOOKUP(Tableau3[[#This Row],[Personnes ontologiques]],'TEMPS PAROLE PERS_ONTO'!A:A,'TEMPS PAROLE PERS_ONTO'!B:B)</f>
        <v>80.507999999999996</v>
      </c>
      <c r="M61">
        <f>Tableau3[[#This Row],[AVOIR L''AIR]]/Tableau3[[#This Row],[Temps de parole total personnes ontologiques]]*600</f>
        <v>0</v>
      </c>
      <c r="N61">
        <f>Tableau3[[#This Row],[AVOIR L''IMPRESSION]]/Tableau3[[#This Row],[Temps de parole total personnes ontologiques]]*600</f>
        <v>7.4526755105082731</v>
      </c>
      <c r="O61">
        <f>Tableau3[[#This Row],[DONNER L''IMPRESSION]]/Tableau3[[#This Row],[Temps de parole total personnes ontologiques]]*600</f>
        <v>0</v>
      </c>
      <c r="P61">
        <f>Tableau3[[#This Row],[PARAITRE]]/Tableau3[[#This Row],[Temps de parole total personnes ontologiques]]*600</f>
        <v>0</v>
      </c>
      <c r="Q61">
        <f>Tableau3[[#This Row],[SEMBLER]]/Tableau3[[#This Row],[Temps de parole total personnes ontologiques]]*600</f>
        <v>0</v>
      </c>
      <c r="R61">
        <f>Tableau3[[#This Row],[APPAREMMENT]]/Tableau3[[#This Row],[Temps de parole total personnes ontologiques]]*600</f>
        <v>0</v>
      </c>
      <c r="S61">
        <f>Tableau3[[#This Row],[EVIDEMMENT]]/Tableau3[[#This Row],[Temps de parole total personnes ontologiques]]*600</f>
        <v>0</v>
      </c>
      <c r="T61">
        <f>Tableau3[[#This Row],[MANIFESTEMENT]]/Tableau3[[#This Row],[Temps de parole total personnes ontologiques]]*600</f>
        <v>0</v>
      </c>
      <c r="U61">
        <f>Tableau3[[#This Row],[VISIBLEMENT]]/Tableau3[[#This Row],[Temps de parole total personnes ontologiques]]*600</f>
        <v>0</v>
      </c>
      <c r="V61">
        <f>SUM(Tableau3[[#This Row],[avoir l''air '[look like'] per 10 min]:[visiblement '[visibly'] per 10 min]])</f>
        <v>7.4526755105082731</v>
      </c>
    </row>
    <row r="62" spans="1:22" x14ac:dyDescent="0.2">
      <c r="A62" s="3" t="s">
        <v>208</v>
      </c>
      <c r="I62">
        <v>1</v>
      </c>
      <c r="K62">
        <f t="shared" si="1"/>
        <v>1</v>
      </c>
      <c r="L62">
        <f>_xlfn.XLOOKUP(Tableau3[[#This Row],[Personnes ontologiques]],'TEMPS PAROLE PERS_ONTO'!A:A,'TEMPS PAROLE PERS_ONTO'!B:B)</f>
        <v>113.566</v>
      </c>
      <c r="M62">
        <f>Tableau3[[#This Row],[AVOIR L''AIR]]/Tableau3[[#This Row],[Temps de parole total personnes ontologiques]]*600</f>
        <v>0</v>
      </c>
      <c r="N62">
        <f>Tableau3[[#This Row],[AVOIR L''IMPRESSION]]/Tableau3[[#This Row],[Temps de parole total personnes ontologiques]]*600</f>
        <v>0</v>
      </c>
      <c r="O62">
        <f>Tableau3[[#This Row],[DONNER L''IMPRESSION]]/Tableau3[[#This Row],[Temps de parole total personnes ontologiques]]*600</f>
        <v>0</v>
      </c>
      <c r="P62">
        <f>Tableau3[[#This Row],[PARAITRE]]/Tableau3[[#This Row],[Temps de parole total personnes ontologiques]]*600</f>
        <v>0</v>
      </c>
      <c r="Q62">
        <f>Tableau3[[#This Row],[SEMBLER]]/Tableau3[[#This Row],[Temps de parole total personnes ontologiques]]*600</f>
        <v>0</v>
      </c>
      <c r="R62">
        <f>Tableau3[[#This Row],[APPAREMMENT]]/Tableau3[[#This Row],[Temps de parole total personnes ontologiques]]*600</f>
        <v>0</v>
      </c>
      <c r="S62">
        <f>Tableau3[[#This Row],[EVIDEMMENT]]/Tableau3[[#This Row],[Temps de parole total personnes ontologiques]]*600</f>
        <v>0</v>
      </c>
      <c r="T62">
        <f>Tableau3[[#This Row],[MANIFESTEMENT]]/Tableau3[[#This Row],[Temps de parole total personnes ontologiques]]*600</f>
        <v>5.2832714016519029</v>
      </c>
      <c r="U62">
        <f>Tableau3[[#This Row],[VISIBLEMENT]]/Tableau3[[#This Row],[Temps de parole total personnes ontologiques]]*600</f>
        <v>0</v>
      </c>
      <c r="V62">
        <f>SUM(Tableau3[[#This Row],[avoir l''air '[look like'] per 10 min]:[visiblement '[visibly'] per 10 min]])</f>
        <v>5.2832714016519029</v>
      </c>
    </row>
    <row r="63" spans="1:22" x14ac:dyDescent="0.2">
      <c r="A63" s="3" t="s">
        <v>201</v>
      </c>
      <c r="H63">
        <v>1</v>
      </c>
      <c r="K63">
        <f t="shared" si="1"/>
        <v>1</v>
      </c>
      <c r="L63">
        <f>_xlfn.XLOOKUP(Tableau3[[#This Row],[Personnes ontologiques]],'TEMPS PAROLE PERS_ONTO'!A:A,'TEMPS PAROLE PERS_ONTO'!B:B)</f>
        <v>182.41800000000001</v>
      </c>
      <c r="M63">
        <f>Tableau3[[#This Row],[AVOIR L''AIR]]/Tableau3[[#This Row],[Temps de parole total personnes ontologiques]]*600</f>
        <v>0</v>
      </c>
      <c r="N63">
        <f>Tableau3[[#This Row],[AVOIR L''IMPRESSION]]/Tableau3[[#This Row],[Temps de parole total personnes ontologiques]]*600</f>
        <v>0</v>
      </c>
      <c r="O63">
        <f>Tableau3[[#This Row],[DONNER L''IMPRESSION]]/Tableau3[[#This Row],[Temps de parole total personnes ontologiques]]*600</f>
        <v>0</v>
      </c>
      <c r="P63">
        <f>Tableau3[[#This Row],[PARAITRE]]/Tableau3[[#This Row],[Temps de parole total personnes ontologiques]]*600</f>
        <v>0</v>
      </c>
      <c r="Q63">
        <f>Tableau3[[#This Row],[SEMBLER]]/Tableau3[[#This Row],[Temps de parole total personnes ontologiques]]*600</f>
        <v>0</v>
      </c>
      <c r="R63">
        <f>Tableau3[[#This Row],[APPAREMMENT]]/Tableau3[[#This Row],[Temps de parole total personnes ontologiques]]*600</f>
        <v>0</v>
      </c>
      <c r="S63">
        <f>Tableau3[[#This Row],[EVIDEMMENT]]/Tableau3[[#This Row],[Temps de parole total personnes ontologiques]]*600</f>
        <v>3.2891490971285724</v>
      </c>
      <c r="T63">
        <f>Tableau3[[#This Row],[MANIFESTEMENT]]/Tableau3[[#This Row],[Temps de parole total personnes ontologiques]]*600</f>
        <v>0</v>
      </c>
      <c r="U63">
        <f>Tableau3[[#This Row],[VISIBLEMENT]]/Tableau3[[#This Row],[Temps de parole total personnes ontologiques]]*600</f>
        <v>0</v>
      </c>
      <c r="V63">
        <f>SUM(Tableau3[[#This Row],[avoir l''air '[look like'] per 10 min]:[visiblement '[visibly'] per 10 min]])</f>
        <v>3.2891490971285724</v>
      </c>
    </row>
    <row r="64" spans="1:22" x14ac:dyDescent="0.2">
      <c r="A64" s="3" t="s">
        <v>159</v>
      </c>
      <c r="C64">
        <v>1</v>
      </c>
      <c r="K64">
        <f t="shared" si="1"/>
        <v>1</v>
      </c>
      <c r="L64">
        <f>_xlfn.XLOOKUP(Tableau3[[#This Row],[Personnes ontologiques]],'TEMPS PAROLE PERS_ONTO'!A:A,'TEMPS PAROLE PERS_ONTO'!B:B)</f>
        <v>257.24599999999998</v>
      </c>
      <c r="M64">
        <f>Tableau3[[#This Row],[AVOIR L''AIR]]/Tableau3[[#This Row],[Temps de parole total personnes ontologiques]]*600</f>
        <v>0</v>
      </c>
      <c r="N64">
        <f>Tableau3[[#This Row],[AVOIR L''IMPRESSION]]/Tableau3[[#This Row],[Temps de parole total personnes ontologiques]]*600</f>
        <v>2.3323977826671749</v>
      </c>
      <c r="O64">
        <f>Tableau3[[#This Row],[DONNER L''IMPRESSION]]/Tableau3[[#This Row],[Temps de parole total personnes ontologiques]]*600</f>
        <v>0</v>
      </c>
      <c r="P64">
        <f>Tableau3[[#This Row],[PARAITRE]]/Tableau3[[#This Row],[Temps de parole total personnes ontologiques]]*600</f>
        <v>0</v>
      </c>
      <c r="Q64">
        <f>Tableau3[[#This Row],[SEMBLER]]/Tableau3[[#This Row],[Temps de parole total personnes ontologiques]]*600</f>
        <v>0</v>
      </c>
      <c r="R64">
        <f>Tableau3[[#This Row],[APPAREMMENT]]/Tableau3[[#This Row],[Temps de parole total personnes ontologiques]]*600</f>
        <v>0</v>
      </c>
      <c r="S64">
        <f>Tableau3[[#This Row],[EVIDEMMENT]]/Tableau3[[#This Row],[Temps de parole total personnes ontologiques]]*600</f>
        <v>0</v>
      </c>
      <c r="T64">
        <f>Tableau3[[#This Row],[MANIFESTEMENT]]/Tableau3[[#This Row],[Temps de parole total personnes ontologiques]]*600</f>
        <v>0</v>
      </c>
      <c r="U64">
        <f>Tableau3[[#This Row],[VISIBLEMENT]]/Tableau3[[#This Row],[Temps de parole total personnes ontologiques]]*600</f>
        <v>0</v>
      </c>
      <c r="V64">
        <f>SUM(Tableau3[[#This Row],[avoir l''air '[look like'] per 10 min]:[visiblement '[visibly'] per 10 min]])</f>
        <v>2.3323977826671749</v>
      </c>
    </row>
    <row r="65" spans="1:22" x14ac:dyDescent="0.2">
      <c r="A65" s="3" t="s">
        <v>234</v>
      </c>
      <c r="F65">
        <v>1</v>
      </c>
      <c r="K65">
        <f t="shared" si="1"/>
        <v>1</v>
      </c>
      <c r="L65">
        <f>_xlfn.XLOOKUP(Tableau3[[#This Row],[Personnes ontologiques]],'TEMPS PAROLE PERS_ONTO'!A:A,'TEMPS PAROLE PERS_ONTO'!B:B)</f>
        <v>388.55200000000002</v>
      </c>
      <c r="M65">
        <f>Tableau3[[#This Row],[AVOIR L''AIR]]/Tableau3[[#This Row],[Temps de parole total personnes ontologiques]]*600</f>
        <v>0</v>
      </c>
      <c r="N65">
        <f>Tableau3[[#This Row],[AVOIR L''IMPRESSION]]/Tableau3[[#This Row],[Temps de parole total personnes ontologiques]]*600</f>
        <v>0</v>
      </c>
      <c r="O65">
        <f>Tableau3[[#This Row],[DONNER L''IMPRESSION]]/Tableau3[[#This Row],[Temps de parole total personnes ontologiques]]*600</f>
        <v>0</v>
      </c>
      <c r="P65">
        <f>Tableau3[[#This Row],[PARAITRE]]/Tableau3[[#This Row],[Temps de parole total personnes ontologiques]]*600</f>
        <v>0</v>
      </c>
      <c r="Q65">
        <f>Tableau3[[#This Row],[SEMBLER]]/Tableau3[[#This Row],[Temps de parole total personnes ontologiques]]*600</f>
        <v>1.5441948568016637</v>
      </c>
      <c r="R65">
        <f>Tableau3[[#This Row],[APPAREMMENT]]/Tableau3[[#This Row],[Temps de parole total personnes ontologiques]]*600</f>
        <v>0</v>
      </c>
      <c r="S65">
        <f>Tableau3[[#This Row],[EVIDEMMENT]]/Tableau3[[#This Row],[Temps de parole total personnes ontologiques]]*600</f>
        <v>0</v>
      </c>
      <c r="T65">
        <f>Tableau3[[#This Row],[MANIFESTEMENT]]/Tableau3[[#This Row],[Temps de parole total personnes ontologiques]]*600</f>
        <v>0</v>
      </c>
      <c r="U65">
        <f>Tableau3[[#This Row],[VISIBLEMENT]]/Tableau3[[#This Row],[Temps de parole total personnes ontologiques]]*600</f>
        <v>0</v>
      </c>
      <c r="V65">
        <f>SUM(Tableau3[[#This Row],[avoir l''air '[look like'] per 10 min]:[visiblement '[visibly'] per 10 min]])</f>
        <v>1.5441948568016637</v>
      </c>
    </row>
    <row r="66" spans="1:22" x14ac:dyDescent="0.2">
      <c r="A66" s="3" t="s">
        <v>155</v>
      </c>
      <c r="H66">
        <v>1</v>
      </c>
      <c r="K66">
        <f t="shared" ref="K66:K79" si="2">SUM(B66:J66)</f>
        <v>1</v>
      </c>
      <c r="L66">
        <f>_xlfn.XLOOKUP(Tableau3[[#This Row],[Personnes ontologiques]],'TEMPS PAROLE PERS_ONTO'!A:A,'TEMPS PAROLE PERS_ONTO'!B:B)</f>
        <v>476.03</v>
      </c>
      <c r="M66">
        <f>Tableau3[[#This Row],[AVOIR L''AIR]]/Tableau3[[#This Row],[Temps de parole total personnes ontologiques]]*600</f>
        <v>0</v>
      </c>
      <c r="N66">
        <f>Tableau3[[#This Row],[AVOIR L''IMPRESSION]]/Tableau3[[#This Row],[Temps de parole total personnes ontologiques]]*600</f>
        <v>0</v>
      </c>
      <c r="O66">
        <f>Tableau3[[#This Row],[DONNER L''IMPRESSION]]/Tableau3[[#This Row],[Temps de parole total personnes ontologiques]]*600</f>
        <v>0</v>
      </c>
      <c r="P66">
        <f>Tableau3[[#This Row],[PARAITRE]]/Tableau3[[#This Row],[Temps de parole total personnes ontologiques]]*600</f>
        <v>0</v>
      </c>
      <c r="Q66">
        <f>Tableau3[[#This Row],[SEMBLER]]/Tableau3[[#This Row],[Temps de parole total personnes ontologiques]]*600</f>
        <v>0</v>
      </c>
      <c r="R66">
        <f>Tableau3[[#This Row],[APPAREMMENT]]/Tableau3[[#This Row],[Temps de parole total personnes ontologiques]]*600</f>
        <v>0</v>
      </c>
      <c r="S66">
        <f>Tableau3[[#This Row],[EVIDEMMENT]]/Tableau3[[#This Row],[Temps de parole total personnes ontologiques]]*600</f>
        <v>1.2604247631451799</v>
      </c>
      <c r="T66">
        <f>Tableau3[[#This Row],[MANIFESTEMENT]]/Tableau3[[#This Row],[Temps de parole total personnes ontologiques]]*600</f>
        <v>0</v>
      </c>
      <c r="U66">
        <f>Tableau3[[#This Row],[VISIBLEMENT]]/Tableau3[[#This Row],[Temps de parole total personnes ontologiques]]*600</f>
        <v>0</v>
      </c>
      <c r="V66">
        <f>SUM(Tableau3[[#This Row],[avoir l''air '[look like'] per 10 min]:[visiblement '[visibly'] per 10 min]])</f>
        <v>1.2604247631451799</v>
      </c>
    </row>
    <row r="67" spans="1:22" x14ac:dyDescent="0.2">
      <c r="A67" s="3" t="s">
        <v>120</v>
      </c>
      <c r="E67">
        <v>1</v>
      </c>
      <c r="K67">
        <f t="shared" si="2"/>
        <v>1</v>
      </c>
      <c r="L67">
        <f>_xlfn.XLOOKUP(Tableau3[[#This Row],[Personnes ontologiques]],'TEMPS PAROLE PERS_ONTO'!A:A,'TEMPS PAROLE PERS_ONTO'!B:B)</f>
        <v>495.28500000000003</v>
      </c>
      <c r="M67">
        <f>Tableau3[[#This Row],[AVOIR L''AIR]]/Tableau3[[#This Row],[Temps de parole total personnes ontologiques]]*600</f>
        <v>0</v>
      </c>
      <c r="N67">
        <f>Tableau3[[#This Row],[AVOIR L''IMPRESSION]]/Tableau3[[#This Row],[Temps de parole total personnes ontologiques]]*600</f>
        <v>0</v>
      </c>
      <c r="O67">
        <f>Tableau3[[#This Row],[DONNER L''IMPRESSION]]/Tableau3[[#This Row],[Temps de parole total personnes ontologiques]]*600</f>
        <v>0</v>
      </c>
      <c r="P67">
        <f>Tableau3[[#This Row],[PARAITRE]]/Tableau3[[#This Row],[Temps de parole total personnes ontologiques]]*600</f>
        <v>1.2114237257336684</v>
      </c>
      <c r="Q67">
        <f>Tableau3[[#This Row],[SEMBLER]]/Tableau3[[#This Row],[Temps de parole total personnes ontologiques]]*600</f>
        <v>0</v>
      </c>
      <c r="R67">
        <f>Tableau3[[#This Row],[APPAREMMENT]]/Tableau3[[#This Row],[Temps de parole total personnes ontologiques]]*600</f>
        <v>0</v>
      </c>
      <c r="S67">
        <f>Tableau3[[#This Row],[EVIDEMMENT]]/Tableau3[[#This Row],[Temps de parole total personnes ontologiques]]*600</f>
        <v>0</v>
      </c>
      <c r="T67">
        <f>Tableau3[[#This Row],[MANIFESTEMENT]]/Tableau3[[#This Row],[Temps de parole total personnes ontologiques]]*600</f>
        <v>0</v>
      </c>
      <c r="U67">
        <f>Tableau3[[#This Row],[VISIBLEMENT]]/Tableau3[[#This Row],[Temps de parole total personnes ontologiques]]*600</f>
        <v>0</v>
      </c>
      <c r="V67">
        <f>SUM(Tableau3[[#This Row],[avoir l''air '[look like'] per 10 min]:[visiblement '[visibly'] per 10 min]])</f>
        <v>1.2114237257336684</v>
      </c>
    </row>
    <row r="68" spans="1:22" x14ac:dyDescent="0.2">
      <c r="A68" s="3" t="s">
        <v>173</v>
      </c>
      <c r="F68">
        <v>1</v>
      </c>
      <c r="K68">
        <f t="shared" si="2"/>
        <v>1</v>
      </c>
      <c r="L68">
        <f>_xlfn.XLOOKUP(Tableau3[[#This Row],[Personnes ontologiques]],'TEMPS PAROLE PERS_ONTO'!A:A,'TEMPS PAROLE PERS_ONTO'!B:B)</f>
        <v>510.28899999999999</v>
      </c>
      <c r="M68">
        <f>Tableau3[[#This Row],[AVOIR L''AIR]]/Tableau3[[#This Row],[Temps de parole total personnes ontologiques]]*600</f>
        <v>0</v>
      </c>
      <c r="N68">
        <f>Tableau3[[#This Row],[AVOIR L''IMPRESSION]]/Tableau3[[#This Row],[Temps de parole total personnes ontologiques]]*600</f>
        <v>0</v>
      </c>
      <c r="O68">
        <f>Tableau3[[#This Row],[DONNER L''IMPRESSION]]/Tableau3[[#This Row],[Temps de parole total personnes ontologiques]]*600</f>
        <v>0</v>
      </c>
      <c r="P68">
        <f>Tableau3[[#This Row],[PARAITRE]]/Tableau3[[#This Row],[Temps de parole total personnes ontologiques]]*600</f>
        <v>0</v>
      </c>
      <c r="Q68">
        <f>Tableau3[[#This Row],[SEMBLER]]/Tableau3[[#This Row],[Temps de parole total personnes ontologiques]]*600</f>
        <v>1.1758042991324524</v>
      </c>
      <c r="R68">
        <f>Tableau3[[#This Row],[APPAREMMENT]]/Tableau3[[#This Row],[Temps de parole total personnes ontologiques]]*600</f>
        <v>0</v>
      </c>
      <c r="S68">
        <f>Tableau3[[#This Row],[EVIDEMMENT]]/Tableau3[[#This Row],[Temps de parole total personnes ontologiques]]*600</f>
        <v>0</v>
      </c>
      <c r="T68">
        <f>Tableau3[[#This Row],[MANIFESTEMENT]]/Tableau3[[#This Row],[Temps de parole total personnes ontologiques]]*600</f>
        <v>0</v>
      </c>
      <c r="U68">
        <f>Tableau3[[#This Row],[VISIBLEMENT]]/Tableau3[[#This Row],[Temps de parole total personnes ontologiques]]*600</f>
        <v>0</v>
      </c>
      <c r="V68">
        <f>SUM(Tableau3[[#This Row],[avoir l''air '[look like'] per 10 min]:[visiblement '[visibly'] per 10 min]])</f>
        <v>1.1758042991324524</v>
      </c>
    </row>
    <row r="69" spans="1:22" x14ac:dyDescent="0.2">
      <c r="A69" s="3" t="s">
        <v>163</v>
      </c>
      <c r="C69">
        <v>1</v>
      </c>
      <c r="K69">
        <f t="shared" si="2"/>
        <v>1</v>
      </c>
      <c r="L69">
        <f>_xlfn.XLOOKUP(Tableau3[[#This Row],[Personnes ontologiques]],'TEMPS PAROLE PERS_ONTO'!A:A,'TEMPS PAROLE PERS_ONTO'!B:B)</f>
        <v>520.53599999999994</v>
      </c>
      <c r="M69">
        <f>Tableau3[[#This Row],[AVOIR L''AIR]]/Tableau3[[#This Row],[Temps de parole total personnes ontologiques]]*600</f>
        <v>0</v>
      </c>
      <c r="N69">
        <f>Tableau3[[#This Row],[AVOIR L''IMPRESSION]]/Tableau3[[#This Row],[Temps de parole total personnes ontologiques]]*600</f>
        <v>1.1526580294158331</v>
      </c>
      <c r="O69">
        <f>Tableau3[[#This Row],[DONNER L''IMPRESSION]]/Tableau3[[#This Row],[Temps de parole total personnes ontologiques]]*600</f>
        <v>0</v>
      </c>
      <c r="P69">
        <f>Tableau3[[#This Row],[PARAITRE]]/Tableau3[[#This Row],[Temps de parole total personnes ontologiques]]*600</f>
        <v>0</v>
      </c>
      <c r="Q69">
        <f>Tableau3[[#This Row],[SEMBLER]]/Tableau3[[#This Row],[Temps de parole total personnes ontologiques]]*600</f>
        <v>0</v>
      </c>
      <c r="R69">
        <f>Tableau3[[#This Row],[APPAREMMENT]]/Tableau3[[#This Row],[Temps de parole total personnes ontologiques]]*600</f>
        <v>0</v>
      </c>
      <c r="S69">
        <f>Tableau3[[#This Row],[EVIDEMMENT]]/Tableau3[[#This Row],[Temps de parole total personnes ontologiques]]*600</f>
        <v>0</v>
      </c>
      <c r="T69">
        <f>Tableau3[[#This Row],[MANIFESTEMENT]]/Tableau3[[#This Row],[Temps de parole total personnes ontologiques]]*600</f>
        <v>0</v>
      </c>
      <c r="U69">
        <f>Tableau3[[#This Row],[VISIBLEMENT]]/Tableau3[[#This Row],[Temps de parole total personnes ontologiques]]*600</f>
        <v>0</v>
      </c>
      <c r="V69">
        <f>SUM(Tableau3[[#This Row],[avoir l''air '[look like'] per 10 min]:[visiblement '[visibly'] per 10 min]])</f>
        <v>1.1526580294158331</v>
      </c>
    </row>
    <row r="70" spans="1:22" x14ac:dyDescent="0.2">
      <c r="A70" s="3" t="s">
        <v>203</v>
      </c>
      <c r="H70">
        <v>1</v>
      </c>
      <c r="K70">
        <f t="shared" si="2"/>
        <v>1</v>
      </c>
      <c r="L70">
        <f>_xlfn.XLOOKUP(Tableau3[[#This Row],[Personnes ontologiques]],'TEMPS PAROLE PERS_ONTO'!A:A,'TEMPS PAROLE PERS_ONTO'!B:B)</f>
        <v>535.99099999999999</v>
      </c>
      <c r="M70">
        <f>Tableau3[[#This Row],[AVOIR L''AIR]]/Tableau3[[#This Row],[Temps de parole total personnes ontologiques]]*600</f>
        <v>0</v>
      </c>
      <c r="N70">
        <f>Tableau3[[#This Row],[AVOIR L''IMPRESSION]]/Tableau3[[#This Row],[Temps de parole total personnes ontologiques]]*600</f>
        <v>0</v>
      </c>
      <c r="O70">
        <f>Tableau3[[#This Row],[DONNER L''IMPRESSION]]/Tableau3[[#This Row],[Temps de parole total personnes ontologiques]]*600</f>
        <v>0</v>
      </c>
      <c r="P70">
        <f>Tableau3[[#This Row],[PARAITRE]]/Tableau3[[#This Row],[Temps de parole total personnes ontologiques]]*600</f>
        <v>0</v>
      </c>
      <c r="Q70">
        <f>Tableau3[[#This Row],[SEMBLER]]/Tableau3[[#This Row],[Temps de parole total personnes ontologiques]]*600</f>
        <v>0</v>
      </c>
      <c r="R70">
        <f>Tableau3[[#This Row],[APPAREMMENT]]/Tableau3[[#This Row],[Temps de parole total personnes ontologiques]]*600</f>
        <v>0</v>
      </c>
      <c r="S70">
        <f>Tableau3[[#This Row],[EVIDEMMENT]]/Tableau3[[#This Row],[Temps de parole total personnes ontologiques]]*600</f>
        <v>1.1194217813358807</v>
      </c>
      <c r="T70">
        <f>Tableau3[[#This Row],[MANIFESTEMENT]]/Tableau3[[#This Row],[Temps de parole total personnes ontologiques]]*600</f>
        <v>0</v>
      </c>
      <c r="U70">
        <f>Tableau3[[#This Row],[VISIBLEMENT]]/Tableau3[[#This Row],[Temps de parole total personnes ontologiques]]*600</f>
        <v>0</v>
      </c>
      <c r="V70">
        <f>SUM(Tableau3[[#This Row],[avoir l''air '[look like'] per 10 min]:[visiblement '[visibly'] per 10 min]])</f>
        <v>1.1194217813358807</v>
      </c>
    </row>
    <row r="71" spans="1:22" x14ac:dyDescent="0.2">
      <c r="A71" s="3" t="s">
        <v>171</v>
      </c>
      <c r="F71">
        <v>1</v>
      </c>
      <c r="K71">
        <f t="shared" si="2"/>
        <v>1</v>
      </c>
      <c r="L71">
        <f>_xlfn.XLOOKUP(Tableau3[[#This Row],[Personnes ontologiques]],'TEMPS PAROLE PERS_ONTO'!A:A,'TEMPS PAROLE PERS_ONTO'!B:B)</f>
        <v>621.30799999999999</v>
      </c>
      <c r="M71">
        <f>Tableau3[[#This Row],[AVOIR L''AIR]]/Tableau3[[#This Row],[Temps de parole total personnes ontologiques]]*600</f>
        <v>0</v>
      </c>
      <c r="N71">
        <f>Tableau3[[#This Row],[AVOIR L''IMPRESSION]]/Tableau3[[#This Row],[Temps de parole total personnes ontologiques]]*600</f>
        <v>0</v>
      </c>
      <c r="O71">
        <f>Tableau3[[#This Row],[DONNER L''IMPRESSION]]/Tableau3[[#This Row],[Temps de parole total personnes ontologiques]]*600</f>
        <v>0</v>
      </c>
      <c r="P71">
        <f>Tableau3[[#This Row],[PARAITRE]]/Tableau3[[#This Row],[Temps de parole total personnes ontologiques]]*600</f>
        <v>0</v>
      </c>
      <c r="Q71">
        <f>Tableau3[[#This Row],[SEMBLER]]/Tableau3[[#This Row],[Temps de parole total personnes ontologiques]]*600</f>
        <v>0.96570461027380949</v>
      </c>
      <c r="R71">
        <f>Tableau3[[#This Row],[APPAREMMENT]]/Tableau3[[#This Row],[Temps de parole total personnes ontologiques]]*600</f>
        <v>0</v>
      </c>
      <c r="S71">
        <f>Tableau3[[#This Row],[EVIDEMMENT]]/Tableau3[[#This Row],[Temps de parole total personnes ontologiques]]*600</f>
        <v>0</v>
      </c>
      <c r="T71">
        <f>Tableau3[[#This Row],[MANIFESTEMENT]]/Tableau3[[#This Row],[Temps de parole total personnes ontologiques]]*600</f>
        <v>0</v>
      </c>
      <c r="U71">
        <f>Tableau3[[#This Row],[VISIBLEMENT]]/Tableau3[[#This Row],[Temps de parole total personnes ontologiques]]*600</f>
        <v>0</v>
      </c>
      <c r="V71">
        <f>SUM(Tableau3[[#This Row],[avoir l''air '[look like'] per 10 min]:[visiblement '[visibly'] per 10 min]])</f>
        <v>0.96570461027380949</v>
      </c>
    </row>
    <row r="72" spans="1:22" x14ac:dyDescent="0.2">
      <c r="A72" s="3" t="s">
        <v>150</v>
      </c>
      <c r="F72">
        <v>1</v>
      </c>
      <c r="K72">
        <f t="shared" si="2"/>
        <v>1</v>
      </c>
      <c r="L72">
        <f>_xlfn.XLOOKUP(Tableau3[[#This Row],[Personnes ontologiques]],'TEMPS PAROLE PERS_ONTO'!A:A,'TEMPS PAROLE PERS_ONTO'!B:B)</f>
        <v>673.548</v>
      </c>
      <c r="M72">
        <f>Tableau3[[#This Row],[AVOIR L''AIR]]/Tableau3[[#This Row],[Temps de parole total personnes ontologiques]]*600</f>
        <v>0</v>
      </c>
      <c r="N72">
        <f>Tableau3[[#This Row],[AVOIR L''IMPRESSION]]/Tableau3[[#This Row],[Temps de parole total personnes ontologiques]]*600</f>
        <v>0</v>
      </c>
      <c r="O72">
        <f>Tableau3[[#This Row],[DONNER L''IMPRESSION]]/Tableau3[[#This Row],[Temps de parole total personnes ontologiques]]*600</f>
        <v>0</v>
      </c>
      <c r="P72">
        <f>Tableau3[[#This Row],[PARAITRE]]/Tableau3[[#This Row],[Temps de parole total personnes ontologiques]]*600</f>
        <v>0</v>
      </c>
      <c r="Q72">
        <f>Tableau3[[#This Row],[SEMBLER]]/Tableau3[[#This Row],[Temps de parole total personnes ontologiques]]*600</f>
        <v>0.890805109658109</v>
      </c>
      <c r="R72">
        <f>Tableau3[[#This Row],[APPAREMMENT]]/Tableau3[[#This Row],[Temps de parole total personnes ontologiques]]*600</f>
        <v>0</v>
      </c>
      <c r="S72">
        <f>Tableau3[[#This Row],[EVIDEMMENT]]/Tableau3[[#This Row],[Temps de parole total personnes ontologiques]]*600</f>
        <v>0</v>
      </c>
      <c r="T72">
        <f>Tableau3[[#This Row],[MANIFESTEMENT]]/Tableau3[[#This Row],[Temps de parole total personnes ontologiques]]*600</f>
        <v>0</v>
      </c>
      <c r="U72">
        <f>Tableau3[[#This Row],[VISIBLEMENT]]/Tableau3[[#This Row],[Temps de parole total personnes ontologiques]]*600</f>
        <v>0</v>
      </c>
      <c r="V72">
        <f>SUM(Tableau3[[#This Row],[avoir l''air '[look like'] per 10 min]:[visiblement '[visibly'] per 10 min]])</f>
        <v>0.890805109658109</v>
      </c>
    </row>
    <row r="73" spans="1:22" x14ac:dyDescent="0.2">
      <c r="A73" s="3" t="s">
        <v>197</v>
      </c>
      <c r="H73">
        <v>1</v>
      </c>
      <c r="K73">
        <f t="shared" si="2"/>
        <v>1</v>
      </c>
      <c r="L73">
        <f>_xlfn.XLOOKUP(Tableau3[[#This Row],[Personnes ontologiques]],'TEMPS PAROLE PERS_ONTO'!A:A,'TEMPS PAROLE PERS_ONTO'!B:B)</f>
        <v>760.25300000000004</v>
      </c>
      <c r="M73">
        <f>Tableau3[[#This Row],[AVOIR L''AIR]]/Tableau3[[#This Row],[Temps de parole total personnes ontologiques]]*600</f>
        <v>0</v>
      </c>
      <c r="N73">
        <f>Tableau3[[#This Row],[AVOIR L''IMPRESSION]]/Tableau3[[#This Row],[Temps de parole total personnes ontologiques]]*600</f>
        <v>0</v>
      </c>
      <c r="O73">
        <f>Tableau3[[#This Row],[DONNER L''IMPRESSION]]/Tableau3[[#This Row],[Temps de parole total personnes ontologiques]]*600</f>
        <v>0</v>
      </c>
      <c r="P73">
        <f>Tableau3[[#This Row],[PARAITRE]]/Tableau3[[#This Row],[Temps de parole total personnes ontologiques]]*600</f>
        <v>0</v>
      </c>
      <c r="Q73">
        <f>Tableau3[[#This Row],[SEMBLER]]/Tableau3[[#This Row],[Temps de parole total personnes ontologiques]]*600</f>
        <v>0</v>
      </c>
      <c r="R73">
        <f>Tableau3[[#This Row],[APPAREMMENT]]/Tableau3[[#This Row],[Temps de parole total personnes ontologiques]]*600</f>
        <v>0</v>
      </c>
      <c r="S73">
        <f>Tableau3[[#This Row],[EVIDEMMENT]]/Tableau3[[#This Row],[Temps de parole total personnes ontologiques]]*600</f>
        <v>0.78921096003567237</v>
      </c>
      <c r="T73">
        <f>Tableau3[[#This Row],[MANIFESTEMENT]]/Tableau3[[#This Row],[Temps de parole total personnes ontologiques]]*600</f>
        <v>0</v>
      </c>
      <c r="U73">
        <f>Tableau3[[#This Row],[VISIBLEMENT]]/Tableau3[[#This Row],[Temps de parole total personnes ontologiques]]*600</f>
        <v>0</v>
      </c>
      <c r="V73">
        <f>SUM(Tableau3[[#This Row],[avoir l''air '[look like'] per 10 min]:[visiblement '[visibly'] per 10 min]])</f>
        <v>0.78921096003567237</v>
      </c>
    </row>
    <row r="74" spans="1:22" x14ac:dyDescent="0.2">
      <c r="A74" s="3" t="s">
        <v>123</v>
      </c>
      <c r="F74">
        <v>1</v>
      </c>
      <c r="K74">
        <f t="shared" si="2"/>
        <v>1</v>
      </c>
      <c r="L74">
        <f>_xlfn.XLOOKUP(Tableau3[[#This Row],[Personnes ontologiques]],'TEMPS PAROLE PERS_ONTO'!A:A,'TEMPS PAROLE PERS_ONTO'!B:B)</f>
        <v>776.41</v>
      </c>
      <c r="M74">
        <f>Tableau3[[#This Row],[AVOIR L''AIR]]/Tableau3[[#This Row],[Temps de parole total personnes ontologiques]]*600</f>
        <v>0</v>
      </c>
      <c r="N74">
        <f>Tableau3[[#This Row],[AVOIR L''IMPRESSION]]/Tableau3[[#This Row],[Temps de parole total personnes ontologiques]]*600</f>
        <v>0</v>
      </c>
      <c r="O74">
        <f>Tableau3[[#This Row],[DONNER L''IMPRESSION]]/Tableau3[[#This Row],[Temps de parole total personnes ontologiques]]*600</f>
        <v>0</v>
      </c>
      <c r="P74">
        <f>Tableau3[[#This Row],[PARAITRE]]/Tableau3[[#This Row],[Temps de parole total personnes ontologiques]]*600</f>
        <v>0</v>
      </c>
      <c r="Q74">
        <f>Tableau3[[#This Row],[SEMBLER]]/Tableau3[[#This Row],[Temps de parole total personnes ontologiques]]*600</f>
        <v>0.77278757357581696</v>
      </c>
      <c r="R74">
        <f>Tableau3[[#This Row],[APPAREMMENT]]/Tableau3[[#This Row],[Temps de parole total personnes ontologiques]]*600</f>
        <v>0</v>
      </c>
      <c r="S74">
        <f>Tableau3[[#This Row],[EVIDEMMENT]]/Tableau3[[#This Row],[Temps de parole total personnes ontologiques]]*600</f>
        <v>0</v>
      </c>
      <c r="T74">
        <f>Tableau3[[#This Row],[MANIFESTEMENT]]/Tableau3[[#This Row],[Temps de parole total personnes ontologiques]]*600</f>
        <v>0</v>
      </c>
      <c r="U74">
        <f>Tableau3[[#This Row],[VISIBLEMENT]]/Tableau3[[#This Row],[Temps de parole total personnes ontologiques]]*600</f>
        <v>0</v>
      </c>
      <c r="V74">
        <f>SUM(Tableau3[[#This Row],[avoir l''air '[look like'] per 10 min]:[visiblement '[visibly'] per 10 min]])</f>
        <v>0.77278757357581696</v>
      </c>
    </row>
    <row r="75" spans="1:22" x14ac:dyDescent="0.2">
      <c r="A75" s="3" t="s">
        <v>178</v>
      </c>
      <c r="E75">
        <v>1</v>
      </c>
      <c r="K75">
        <f t="shared" si="2"/>
        <v>1</v>
      </c>
      <c r="L75">
        <f>_xlfn.XLOOKUP(Tableau3[[#This Row],[Personnes ontologiques]],'TEMPS PAROLE PERS_ONTO'!A:A,'TEMPS PAROLE PERS_ONTO'!B:B)</f>
        <v>803.375</v>
      </c>
      <c r="M75">
        <f>Tableau3[[#This Row],[AVOIR L''AIR]]/Tableau3[[#This Row],[Temps de parole total personnes ontologiques]]*600</f>
        <v>0</v>
      </c>
      <c r="N75">
        <f>Tableau3[[#This Row],[AVOIR L''IMPRESSION]]/Tableau3[[#This Row],[Temps de parole total personnes ontologiques]]*600</f>
        <v>0</v>
      </c>
      <c r="O75">
        <f>Tableau3[[#This Row],[DONNER L''IMPRESSION]]/Tableau3[[#This Row],[Temps de parole total personnes ontologiques]]*600</f>
        <v>0</v>
      </c>
      <c r="P75">
        <f>Tableau3[[#This Row],[PARAITRE]]/Tableau3[[#This Row],[Temps de parole total personnes ontologiques]]*600</f>
        <v>0.74684922981173174</v>
      </c>
      <c r="Q75">
        <f>Tableau3[[#This Row],[SEMBLER]]/Tableau3[[#This Row],[Temps de parole total personnes ontologiques]]*600</f>
        <v>0</v>
      </c>
      <c r="R75">
        <f>Tableau3[[#This Row],[APPAREMMENT]]/Tableau3[[#This Row],[Temps de parole total personnes ontologiques]]*600</f>
        <v>0</v>
      </c>
      <c r="S75">
        <f>Tableau3[[#This Row],[EVIDEMMENT]]/Tableau3[[#This Row],[Temps de parole total personnes ontologiques]]*600</f>
        <v>0</v>
      </c>
      <c r="T75">
        <f>Tableau3[[#This Row],[MANIFESTEMENT]]/Tableau3[[#This Row],[Temps de parole total personnes ontologiques]]*600</f>
        <v>0</v>
      </c>
      <c r="U75">
        <f>Tableau3[[#This Row],[VISIBLEMENT]]/Tableau3[[#This Row],[Temps de parole total personnes ontologiques]]*600</f>
        <v>0</v>
      </c>
      <c r="V75">
        <f>SUM(Tableau3[[#This Row],[avoir l''air '[look like'] per 10 min]:[visiblement '[visibly'] per 10 min]])</f>
        <v>0.74684922981173174</v>
      </c>
    </row>
    <row r="76" spans="1:22" x14ac:dyDescent="0.2">
      <c r="A76" s="3" t="s">
        <v>108</v>
      </c>
      <c r="C76">
        <v>1</v>
      </c>
      <c r="K76">
        <f t="shared" si="2"/>
        <v>1</v>
      </c>
      <c r="L76">
        <f>_xlfn.XLOOKUP(Tableau3[[#This Row],[Personnes ontologiques]],'TEMPS PAROLE PERS_ONTO'!A:A,'TEMPS PAROLE PERS_ONTO'!B:B)</f>
        <v>840.81600000000003</v>
      </c>
      <c r="M76">
        <f>Tableau3[[#This Row],[AVOIR L''AIR]]/Tableau3[[#This Row],[Temps de parole total personnes ontologiques]]*600</f>
        <v>0</v>
      </c>
      <c r="N76">
        <f>Tableau3[[#This Row],[AVOIR L''IMPRESSION]]/Tableau3[[#This Row],[Temps de parole total personnes ontologiques]]*600</f>
        <v>0.71359251013301361</v>
      </c>
      <c r="O76">
        <f>Tableau3[[#This Row],[DONNER L''IMPRESSION]]/Tableau3[[#This Row],[Temps de parole total personnes ontologiques]]*600</f>
        <v>0</v>
      </c>
      <c r="P76">
        <f>Tableau3[[#This Row],[PARAITRE]]/Tableau3[[#This Row],[Temps de parole total personnes ontologiques]]*600</f>
        <v>0</v>
      </c>
      <c r="Q76">
        <f>Tableau3[[#This Row],[SEMBLER]]/Tableau3[[#This Row],[Temps de parole total personnes ontologiques]]*600</f>
        <v>0</v>
      </c>
      <c r="R76">
        <f>Tableau3[[#This Row],[APPAREMMENT]]/Tableau3[[#This Row],[Temps de parole total personnes ontologiques]]*600</f>
        <v>0</v>
      </c>
      <c r="S76">
        <f>Tableau3[[#This Row],[EVIDEMMENT]]/Tableau3[[#This Row],[Temps de parole total personnes ontologiques]]*600</f>
        <v>0</v>
      </c>
      <c r="T76">
        <f>Tableau3[[#This Row],[MANIFESTEMENT]]/Tableau3[[#This Row],[Temps de parole total personnes ontologiques]]*600</f>
        <v>0</v>
      </c>
      <c r="U76">
        <f>Tableau3[[#This Row],[VISIBLEMENT]]/Tableau3[[#This Row],[Temps de parole total personnes ontologiques]]*600</f>
        <v>0</v>
      </c>
      <c r="V76">
        <f>SUM(Tableau3[[#This Row],[avoir l''air '[look like'] per 10 min]:[visiblement '[visibly'] per 10 min]])</f>
        <v>0.71359251013301361</v>
      </c>
    </row>
    <row r="77" spans="1:22" x14ac:dyDescent="0.2">
      <c r="A77" s="3" t="s">
        <v>145</v>
      </c>
      <c r="F77">
        <v>1</v>
      </c>
      <c r="K77">
        <f t="shared" si="2"/>
        <v>1</v>
      </c>
      <c r="L77">
        <f>_xlfn.XLOOKUP(Tableau3[[#This Row],[Personnes ontologiques]],'TEMPS PAROLE PERS_ONTO'!A:A,'TEMPS PAROLE PERS_ONTO'!B:B)</f>
        <v>857.71</v>
      </c>
      <c r="M77">
        <f>Tableau3[[#This Row],[AVOIR L''AIR]]/Tableau3[[#This Row],[Temps de parole total personnes ontologiques]]*600</f>
        <v>0</v>
      </c>
      <c r="N77">
        <f>Tableau3[[#This Row],[AVOIR L''IMPRESSION]]/Tableau3[[#This Row],[Temps de parole total personnes ontologiques]]*600</f>
        <v>0</v>
      </c>
      <c r="O77">
        <f>Tableau3[[#This Row],[DONNER L''IMPRESSION]]/Tableau3[[#This Row],[Temps de parole total personnes ontologiques]]*600</f>
        <v>0</v>
      </c>
      <c r="P77">
        <f>Tableau3[[#This Row],[PARAITRE]]/Tableau3[[#This Row],[Temps de parole total personnes ontologiques]]*600</f>
        <v>0</v>
      </c>
      <c r="Q77">
        <f>Tableau3[[#This Row],[SEMBLER]]/Tableau3[[#This Row],[Temps de parole total personnes ontologiques]]*600</f>
        <v>0.69953713959263619</v>
      </c>
      <c r="R77">
        <f>Tableau3[[#This Row],[APPAREMMENT]]/Tableau3[[#This Row],[Temps de parole total personnes ontologiques]]*600</f>
        <v>0</v>
      </c>
      <c r="S77">
        <f>Tableau3[[#This Row],[EVIDEMMENT]]/Tableau3[[#This Row],[Temps de parole total personnes ontologiques]]*600</f>
        <v>0</v>
      </c>
      <c r="T77">
        <f>Tableau3[[#This Row],[MANIFESTEMENT]]/Tableau3[[#This Row],[Temps de parole total personnes ontologiques]]*600</f>
        <v>0</v>
      </c>
      <c r="U77">
        <f>Tableau3[[#This Row],[VISIBLEMENT]]/Tableau3[[#This Row],[Temps de parole total personnes ontologiques]]*600</f>
        <v>0</v>
      </c>
      <c r="V77">
        <f>SUM(Tableau3[[#This Row],[avoir l''air '[look like'] per 10 min]:[visiblement '[visibly'] per 10 min]])</f>
        <v>0.69953713959263619</v>
      </c>
    </row>
    <row r="78" spans="1:22" x14ac:dyDescent="0.2">
      <c r="A78" s="3" t="s">
        <v>138</v>
      </c>
      <c r="H78">
        <v>1</v>
      </c>
      <c r="K78">
        <f t="shared" si="2"/>
        <v>1</v>
      </c>
      <c r="L78">
        <f>_xlfn.XLOOKUP(Tableau3[[#This Row],[Personnes ontologiques]],'TEMPS PAROLE PERS_ONTO'!A:A,'TEMPS PAROLE PERS_ONTO'!B:B)</f>
        <v>905.99400000000003</v>
      </c>
      <c r="M78">
        <f>Tableau3[[#This Row],[AVOIR L''AIR]]/Tableau3[[#This Row],[Temps de parole total personnes ontologiques]]*600</f>
        <v>0</v>
      </c>
      <c r="N78">
        <f>Tableau3[[#This Row],[AVOIR L''IMPRESSION]]/Tableau3[[#This Row],[Temps de parole total personnes ontologiques]]*600</f>
        <v>0</v>
      </c>
      <c r="O78">
        <f>Tableau3[[#This Row],[DONNER L''IMPRESSION]]/Tableau3[[#This Row],[Temps de parole total personnes ontologiques]]*600</f>
        <v>0</v>
      </c>
      <c r="P78">
        <f>Tableau3[[#This Row],[PARAITRE]]/Tableau3[[#This Row],[Temps de parole total personnes ontologiques]]*600</f>
        <v>0</v>
      </c>
      <c r="Q78">
        <f>Tableau3[[#This Row],[SEMBLER]]/Tableau3[[#This Row],[Temps de parole total personnes ontologiques]]*600</f>
        <v>0</v>
      </c>
      <c r="R78">
        <f>Tableau3[[#This Row],[APPAREMMENT]]/Tableau3[[#This Row],[Temps de parole total personnes ontologiques]]*600</f>
        <v>0</v>
      </c>
      <c r="S78">
        <f>Tableau3[[#This Row],[EVIDEMMENT]]/Tableau3[[#This Row],[Temps de parole total personnes ontologiques]]*600</f>
        <v>0.66225604143073791</v>
      </c>
      <c r="T78">
        <f>Tableau3[[#This Row],[MANIFESTEMENT]]/Tableau3[[#This Row],[Temps de parole total personnes ontologiques]]*600</f>
        <v>0</v>
      </c>
      <c r="U78">
        <f>Tableau3[[#This Row],[VISIBLEMENT]]/Tableau3[[#This Row],[Temps de parole total personnes ontologiques]]*600</f>
        <v>0</v>
      </c>
      <c r="V78">
        <f>SUM(Tableau3[[#This Row],[avoir l''air '[look like'] per 10 min]:[visiblement '[visibly'] per 10 min]])</f>
        <v>0.66225604143073791</v>
      </c>
    </row>
    <row r="79" spans="1:22" x14ac:dyDescent="0.2">
      <c r="A79" s="3" t="s">
        <v>111</v>
      </c>
      <c r="C79">
        <v>1</v>
      </c>
      <c r="K79">
        <f t="shared" si="2"/>
        <v>1</v>
      </c>
      <c r="L79">
        <f>_xlfn.XLOOKUP(Tableau3[[#This Row],[Personnes ontologiques]],'TEMPS PAROLE PERS_ONTO'!A:A,'TEMPS PAROLE PERS_ONTO'!B:B)</f>
        <v>1199.0150000000001</v>
      </c>
      <c r="M79">
        <f>Tableau3[[#This Row],[AVOIR L''AIR]]/Tableau3[[#This Row],[Temps de parole total personnes ontologiques]]*600</f>
        <v>0</v>
      </c>
      <c r="N79">
        <f>Tableau3[[#This Row],[AVOIR L''IMPRESSION]]/Tableau3[[#This Row],[Temps de parole total personnes ontologiques]]*600</f>
        <v>0.50041075382709965</v>
      </c>
      <c r="O79">
        <f>Tableau3[[#This Row],[DONNER L''IMPRESSION]]/Tableau3[[#This Row],[Temps de parole total personnes ontologiques]]*600</f>
        <v>0</v>
      </c>
      <c r="P79">
        <f>Tableau3[[#This Row],[PARAITRE]]/Tableau3[[#This Row],[Temps de parole total personnes ontologiques]]*600</f>
        <v>0</v>
      </c>
      <c r="Q79">
        <f>Tableau3[[#This Row],[SEMBLER]]/Tableau3[[#This Row],[Temps de parole total personnes ontologiques]]*600</f>
        <v>0</v>
      </c>
      <c r="R79">
        <f>Tableau3[[#This Row],[APPAREMMENT]]/Tableau3[[#This Row],[Temps de parole total personnes ontologiques]]*600</f>
        <v>0</v>
      </c>
      <c r="S79">
        <f>Tableau3[[#This Row],[EVIDEMMENT]]/Tableau3[[#This Row],[Temps de parole total personnes ontologiques]]*600</f>
        <v>0</v>
      </c>
      <c r="T79">
        <f>Tableau3[[#This Row],[MANIFESTEMENT]]/Tableau3[[#This Row],[Temps de parole total personnes ontologiques]]*600</f>
        <v>0</v>
      </c>
      <c r="U79">
        <f>Tableau3[[#This Row],[VISIBLEMENT]]/Tableau3[[#This Row],[Temps de parole total personnes ontologiques]]*600</f>
        <v>0</v>
      </c>
      <c r="V79">
        <f>SUM(Tableau3[[#This Row],[avoir l''air '[look like'] per 10 min]:[visiblement '[visibly'] per 10 min]])</f>
        <v>0.50041075382709965</v>
      </c>
    </row>
    <row r="80" spans="1:22" x14ac:dyDescent="0.2">
      <c r="A80" s="4" t="s">
        <v>235</v>
      </c>
      <c r="B80" s="5">
        <f>SUM(B2:B79)</f>
        <v>14</v>
      </c>
      <c r="C80" s="5">
        <f t="shared" ref="C80:J80" si="3">SUM(C2:C79)</f>
        <v>45</v>
      </c>
      <c r="D80" s="5">
        <f t="shared" si="3"/>
        <v>5</v>
      </c>
      <c r="E80" s="5">
        <f t="shared" si="3"/>
        <v>25</v>
      </c>
      <c r="F80" s="5">
        <f t="shared" si="3"/>
        <v>97</v>
      </c>
      <c r="G80" s="5">
        <f t="shared" si="3"/>
        <v>17</v>
      </c>
      <c r="H80" s="5">
        <f t="shared" si="3"/>
        <v>112</v>
      </c>
      <c r="I80" s="5">
        <f t="shared" si="3"/>
        <v>5</v>
      </c>
      <c r="J80" s="5">
        <f t="shared" si="3"/>
        <v>8</v>
      </c>
      <c r="K80" s="5">
        <f>SUM(K2:K79)</f>
        <v>328</v>
      </c>
      <c r="L80" s="5">
        <f>SUM(L2:L79)</f>
        <v>76843.065000000046</v>
      </c>
      <c r="M80" s="5">
        <f t="shared" ref="M80:U80" si="4">SUM(M2:M79)</f>
        <v>10.279819049920542</v>
      </c>
      <c r="N80" s="5">
        <f t="shared" si="4"/>
        <v>70.853357156778998</v>
      </c>
      <c r="O80" s="5">
        <f t="shared" si="4"/>
        <v>2.6108100546857722</v>
      </c>
      <c r="P80" s="5">
        <f t="shared" si="4"/>
        <v>15.633788549277732</v>
      </c>
      <c r="Q80" s="5">
        <f t="shared" si="4"/>
        <v>104.33411744600389</v>
      </c>
      <c r="R80" s="5">
        <f t="shared" si="4"/>
        <v>44.659478062165029</v>
      </c>
      <c r="S80" s="5">
        <f t="shared" si="4"/>
        <v>98.597177009124849</v>
      </c>
      <c r="T80" s="5">
        <f t="shared" si="4"/>
        <v>8.1625148076509575</v>
      </c>
      <c r="U80" s="5">
        <f t="shared" si="4"/>
        <v>13.119031449074589</v>
      </c>
    </row>
  </sheetData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AA612-DE51-684E-9FA0-69F4F2E987CE}">
  <dimension ref="A1:B147"/>
  <sheetViews>
    <sheetView workbookViewId="0">
      <selection sqref="A1:XFD1048576"/>
    </sheetView>
  </sheetViews>
  <sheetFormatPr baseColWidth="10" defaultColWidth="11" defaultRowHeight="16" x14ac:dyDescent="0.2"/>
  <cols>
    <col min="1" max="1" width="16.1640625" customWidth="1"/>
  </cols>
  <sheetData>
    <row r="1" spans="1:2" x14ac:dyDescent="0.2">
      <c r="A1" t="s">
        <v>236</v>
      </c>
      <c r="B1" t="s">
        <v>237</v>
      </c>
    </row>
    <row r="2" spans="1:2" x14ac:dyDescent="0.2">
      <c r="A2" t="s">
        <v>100</v>
      </c>
      <c r="B2">
        <v>4526.9009999999998</v>
      </c>
    </row>
    <row r="3" spans="1:2" x14ac:dyDescent="0.2">
      <c r="A3" t="s">
        <v>82</v>
      </c>
      <c r="B3">
        <v>3916.654</v>
      </c>
    </row>
    <row r="4" spans="1:2" x14ac:dyDescent="0.2">
      <c r="A4" t="s">
        <v>152</v>
      </c>
      <c r="B4">
        <v>3740.337</v>
      </c>
    </row>
    <row r="5" spans="1:2" x14ac:dyDescent="0.2">
      <c r="A5" t="s">
        <v>117</v>
      </c>
      <c r="B5">
        <v>3497.6950000000002</v>
      </c>
    </row>
    <row r="6" spans="1:2" x14ac:dyDescent="0.2">
      <c r="A6" t="s">
        <v>175</v>
      </c>
      <c r="B6">
        <v>2936.32</v>
      </c>
    </row>
    <row r="7" spans="1:2" x14ac:dyDescent="0.2">
      <c r="A7" t="s">
        <v>86</v>
      </c>
      <c r="B7">
        <v>2715.902</v>
      </c>
    </row>
    <row r="8" spans="1:2" x14ac:dyDescent="0.2">
      <c r="A8" t="s">
        <v>59</v>
      </c>
      <c r="B8">
        <v>2443.5529999999999</v>
      </c>
    </row>
    <row r="9" spans="1:2" x14ac:dyDescent="0.2">
      <c r="A9" t="s">
        <v>28</v>
      </c>
      <c r="B9">
        <v>2260.48</v>
      </c>
    </row>
    <row r="10" spans="1:2" x14ac:dyDescent="0.2">
      <c r="A10" t="s">
        <v>238</v>
      </c>
      <c r="B10">
        <v>2197.4090000000001</v>
      </c>
    </row>
    <row r="11" spans="1:2" x14ac:dyDescent="0.2">
      <c r="A11" t="s">
        <v>87</v>
      </c>
      <c r="B11">
        <v>2146.4050000000002</v>
      </c>
    </row>
    <row r="12" spans="1:2" x14ac:dyDescent="0.2">
      <c r="A12" t="s">
        <v>105</v>
      </c>
      <c r="B12">
        <v>2014.8309999999999</v>
      </c>
    </row>
    <row r="13" spans="1:2" x14ac:dyDescent="0.2">
      <c r="A13" t="s">
        <v>60</v>
      </c>
      <c r="B13">
        <v>1863.615</v>
      </c>
    </row>
    <row r="14" spans="1:2" x14ac:dyDescent="0.2">
      <c r="A14" t="s">
        <v>84</v>
      </c>
      <c r="B14">
        <v>1789.854</v>
      </c>
    </row>
    <row r="15" spans="1:2" x14ac:dyDescent="0.2">
      <c r="A15" t="s">
        <v>168</v>
      </c>
      <c r="B15">
        <v>1707.597</v>
      </c>
    </row>
    <row r="16" spans="1:2" x14ac:dyDescent="0.2">
      <c r="A16" t="s">
        <v>94</v>
      </c>
      <c r="B16">
        <v>1662.3710000000001</v>
      </c>
    </row>
    <row r="17" spans="1:2" x14ac:dyDescent="0.2">
      <c r="A17" t="s">
        <v>174</v>
      </c>
      <c r="B17">
        <v>1567.65</v>
      </c>
    </row>
    <row r="18" spans="1:2" x14ac:dyDescent="0.2">
      <c r="A18" t="s">
        <v>64</v>
      </c>
      <c r="B18">
        <v>1557.9259999999999</v>
      </c>
    </row>
    <row r="19" spans="1:2" x14ac:dyDescent="0.2">
      <c r="A19" t="s">
        <v>90</v>
      </c>
      <c r="B19">
        <v>1504.597</v>
      </c>
    </row>
    <row r="20" spans="1:2" x14ac:dyDescent="0.2">
      <c r="A20" t="s">
        <v>122</v>
      </c>
      <c r="B20">
        <v>1503.8620000000001</v>
      </c>
    </row>
    <row r="21" spans="1:2" x14ac:dyDescent="0.2">
      <c r="A21" t="s">
        <v>103</v>
      </c>
      <c r="B21">
        <v>1405.691</v>
      </c>
    </row>
    <row r="22" spans="1:2" x14ac:dyDescent="0.2">
      <c r="A22" t="s">
        <v>143</v>
      </c>
      <c r="B22">
        <v>1324.671</v>
      </c>
    </row>
    <row r="23" spans="1:2" x14ac:dyDescent="0.2">
      <c r="A23" t="s">
        <v>135</v>
      </c>
      <c r="B23">
        <v>1296.232</v>
      </c>
    </row>
    <row r="24" spans="1:2" x14ac:dyDescent="0.2">
      <c r="A24" t="s">
        <v>111</v>
      </c>
      <c r="B24">
        <v>1199.0150000000001</v>
      </c>
    </row>
    <row r="25" spans="1:2" x14ac:dyDescent="0.2">
      <c r="A25" t="s">
        <v>176</v>
      </c>
      <c r="B25">
        <v>1187.326</v>
      </c>
    </row>
    <row r="26" spans="1:2" x14ac:dyDescent="0.2">
      <c r="A26" t="s">
        <v>91</v>
      </c>
      <c r="B26">
        <v>1077.193</v>
      </c>
    </row>
    <row r="27" spans="1:2" x14ac:dyDescent="0.2">
      <c r="A27" t="s">
        <v>239</v>
      </c>
      <c r="B27">
        <v>1062.0029999999999</v>
      </c>
    </row>
    <row r="28" spans="1:2" x14ac:dyDescent="0.2">
      <c r="A28" t="s">
        <v>165</v>
      </c>
      <c r="B28">
        <v>1037.4849999999999</v>
      </c>
    </row>
    <row r="29" spans="1:2" x14ac:dyDescent="0.2">
      <c r="A29" t="s">
        <v>75</v>
      </c>
      <c r="B29">
        <v>1015.734</v>
      </c>
    </row>
    <row r="30" spans="1:2" x14ac:dyDescent="0.2">
      <c r="A30" t="s">
        <v>106</v>
      </c>
      <c r="B30">
        <v>999.43700000000001</v>
      </c>
    </row>
    <row r="31" spans="1:2" x14ac:dyDescent="0.2">
      <c r="A31" t="s">
        <v>189</v>
      </c>
      <c r="B31">
        <v>974.31500000000005</v>
      </c>
    </row>
    <row r="32" spans="1:2" x14ac:dyDescent="0.2">
      <c r="A32" t="s">
        <v>52</v>
      </c>
      <c r="B32">
        <v>962.48199999999997</v>
      </c>
    </row>
    <row r="33" spans="1:2" x14ac:dyDescent="0.2">
      <c r="A33" t="s">
        <v>132</v>
      </c>
      <c r="B33">
        <v>934.69200000000001</v>
      </c>
    </row>
    <row r="34" spans="1:2" x14ac:dyDescent="0.2">
      <c r="A34" t="s">
        <v>43</v>
      </c>
      <c r="B34">
        <v>921.23900000000003</v>
      </c>
    </row>
    <row r="35" spans="1:2" x14ac:dyDescent="0.2">
      <c r="A35" t="s">
        <v>138</v>
      </c>
      <c r="B35">
        <v>905.99400000000003</v>
      </c>
    </row>
    <row r="36" spans="1:2" x14ac:dyDescent="0.2">
      <c r="A36" t="s">
        <v>113</v>
      </c>
      <c r="B36">
        <v>876.34900000000005</v>
      </c>
    </row>
    <row r="37" spans="1:2" x14ac:dyDescent="0.2">
      <c r="A37" t="s">
        <v>137</v>
      </c>
      <c r="B37">
        <v>861.04300000000001</v>
      </c>
    </row>
    <row r="38" spans="1:2" x14ac:dyDescent="0.2">
      <c r="A38" t="s">
        <v>145</v>
      </c>
      <c r="B38">
        <v>857.71</v>
      </c>
    </row>
    <row r="39" spans="1:2" x14ac:dyDescent="0.2">
      <c r="A39" t="s">
        <v>182</v>
      </c>
      <c r="B39">
        <v>855.57399999999996</v>
      </c>
    </row>
    <row r="40" spans="1:2" x14ac:dyDescent="0.2">
      <c r="A40" t="s">
        <v>108</v>
      </c>
      <c r="B40">
        <v>840.81600000000003</v>
      </c>
    </row>
    <row r="41" spans="1:2" x14ac:dyDescent="0.2">
      <c r="A41" t="s">
        <v>240</v>
      </c>
      <c r="B41">
        <v>812.77300000000002</v>
      </c>
    </row>
    <row r="42" spans="1:2" x14ac:dyDescent="0.2">
      <c r="A42" t="s">
        <v>178</v>
      </c>
      <c r="B42">
        <v>803.375</v>
      </c>
    </row>
    <row r="43" spans="1:2" x14ac:dyDescent="0.2">
      <c r="A43" t="s">
        <v>215</v>
      </c>
      <c r="B43">
        <v>777.81899999999996</v>
      </c>
    </row>
    <row r="44" spans="1:2" x14ac:dyDescent="0.2">
      <c r="A44" t="s">
        <v>123</v>
      </c>
      <c r="B44">
        <v>776.41</v>
      </c>
    </row>
    <row r="45" spans="1:2" x14ac:dyDescent="0.2">
      <c r="A45" t="s">
        <v>233</v>
      </c>
      <c r="B45">
        <v>764.22900000000004</v>
      </c>
    </row>
    <row r="46" spans="1:2" x14ac:dyDescent="0.2">
      <c r="A46" t="s">
        <v>197</v>
      </c>
      <c r="B46">
        <v>760.25300000000004</v>
      </c>
    </row>
    <row r="47" spans="1:2" x14ac:dyDescent="0.2">
      <c r="A47" t="s">
        <v>136</v>
      </c>
      <c r="B47">
        <v>753.90700000000004</v>
      </c>
    </row>
    <row r="48" spans="1:2" x14ac:dyDescent="0.2">
      <c r="A48" t="s">
        <v>93</v>
      </c>
      <c r="B48">
        <v>749.33600000000001</v>
      </c>
    </row>
    <row r="49" spans="1:2" x14ac:dyDescent="0.2">
      <c r="A49" t="s">
        <v>48</v>
      </c>
      <c r="B49">
        <v>706.59199999999998</v>
      </c>
    </row>
    <row r="50" spans="1:2" x14ac:dyDescent="0.2">
      <c r="A50" t="s">
        <v>101</v>
      </c>
      <c r="B50">
        <v>699.83799999999997</v>
      </c>
    </row>
    <row r="51" spans="1:2" x14ac:dyDescent="0.2">
      <c r="A51" t="s">
        <v>78</v>
      </c>
      <c r="B51">
        <v>690.53800000000001</v>
      </c>
    </row>
    <row r="52" spans="1:2" x14ac:dyDescent="0.2">
      <c r="A52" t="s">
        <v>241</v>
      </c>
      <c r="B52">
        <v>687.39</v>
      </c>
    </row>
    <row r="53" spans="1:2" x14ac:dyDescent="0.2">
      <c r="A53" t="s">
        <v>150</v>
      </c>
      <c r="B53">
        <v>673.548</v>
      </c>
    </row>
    <row r="54" spans="1:2" x14ac:dyDescent="0.2">
      <c r="A54" t="s">
        <v>133</v>
      </c>
      <c r="B54">
        <v>661.13499999999999</v>
      </c>
    </row>
    <row r="55" spans="1:2" x14ac:dyDescent="0.2">
      <c r="A55" t="s">
        <v>65</v>
      </c>
      <c r="B55">
        <v>622.93200000000002</v>
      </c>
    </row>
    <row r="56" spans="1:2" x14ac:dyDescent="0.2">
      <c r="A56" t="s">
        <v>171</v>
      </c>
      <c r="B56">
        <v>621.30799999999999</v>
      </c>
    </row>
    <row r="57" spans="1:2" x14ac:dyDescent="0.2">
      <c r="A57" t="s">
        <v>70</v>
      </c>
      <c r="B57">
        <v>574.38900000000001</v>
      </c>
    </row>
    <row r="58" spans="1:2" x14ac:dyDescent="0.2">
      <c r="A58" t="s">
        <v>157</v>
      </c>
      <c r="B58">
        <v>559.06100000000004</v>
      </c>
    </row>
    <row r="59" spans="1:2" x14ac:dyDescent="0.2">
      <c r="A59" t="s">
        <v>203</v>
      </c>
      <c r="B59">
        <v>535.99099999999999</v>
      </c>
    </row>
    <row r="60" spans="1:2" x14ac:dyDescent="0.2">
      <c r="A60" t="s">
        <v>163</v>
      </c>
      <c r="B60">
        <v>520.53599999999994</v>
      </c>
    </row>
    <row r="61" spans="1:2" x14ac:dyDescent="0.2">
      <c r="A61" t="s">
        <v>242</v>
      </c>
      <c r="B61">
        <v>516.52099999999996</v>
      </c>
    </row>
    <row r="62" spans="1:2" x14ac:dyDescent="0.2">
      <c r="A62" t="s">
        <v>173</v>
      </c>
      <c r="B62">
        <v>510.28899999999999</v>
      </c>
    </row>
    <row r="63" spans="1:2" x14ac:dyDescent="0.2">
      <c r="A63" t="s">
        <v>243</v>
      </c>
      <c r="B63">
        <v>509.54</v>
      </c>
    </row>
    <row r="64" spans="1:2" x14ac:dyDescent="0.2">
      <c r="A64" t="s">
        <v>244</v>
      </c>
      <c r="B64">
        <v>496.26799999999997</v>
      </c>
    </row>
    <row r="65" spans="1:2" x14ac:dyDescent="0.2">
      <c r="A65" t="s">
        <v>120</v>
      </c>
      <c r="B65">
        <v>495.28500000000003</v>
      </c>
    </row>
    <row r="66" spans="1:2" x14ac:dyDescent="0.2">
      <c r="A66" t="s">
        <v>232</v>
      </c>
      <c r="B66">
        <v>495.17200000000003</v>
      </c>
    </row>
    <row r="67" spans="1:2" x14ac:dyDescent="0.2">
      <c r="A67" t="s">
        <v>196</v>
      </c>
      <c r="B67">
        <v>485.637</v>
      </c>
    </row>
    <row r="68" spans="1:2" x14ac:dyDescent="0.2">
      <c r="A68" t="s">
        <v>155</v>
      </c>
      <c r="B68">
        <v>476.03</v>
      </c>
    </row>
    <row r="69" spans="1:2" x14ac:dyDescent="0.2">
      <c r="A69" t="s">
        <v>156</v>
      </c>
      <c r="B69">
        <v>471.86099999999999</v>
      </c>
    </row>
    <row r="70" spans="1:2" x14ac:dyDescent="0.2">
      <c r="A70" t="s">
        <v>204</v>
      </c>
      <c r="B70">
        <v>464.11700000000002</v>
      </c>
    </row>
    <row r="71" spans="1:2" x14ac:dyDescent="0.2">
      <c r="A71" t="s">
        <v>213</v>
      </c>
      <c r="B71">
        <v>443.03199999999998</v>
      </c>
    </row>
    <row r="72" spans="1:2" x14ac:dyDescent="0.2">
      <c r="A72" t="s">
        <v>234</v>
      </c>
      <c r="B72">
        <v>388.55200000000002</v>
      </c>
    </row>
    <row r="73" spans="1:2" x14ac:dyDescent="0.2">
      <c r="A73" t="s">
        <v>126</v>
      </c>
      <c r="B73">
        <v>359.83199999999999</v>
      </c>
    </row>
    <row r="74" spans="1:2" x14ac:dyDescent="0.2">
      <c r="A74" t="s">
        <v>245</v>
      </c>
      <c r="B74">
        <v>352.38400000000001</v>
      </c>
    </row>
    <row r="75" spans="1:2" x14ac:dyDescent="0.2">
      <c r="A75" t="s">
        <v>172</v>
      </c>
      <c r="B75">
        <v>314.06599999999997</v>
      </c>
    </row>
    <row r="76" spans="1:2" x14ac:dyDescent="0.2">
      <c r="A76" t="s">
        <v>79</v>
      </c>
      <c r="B76">
        <v>296.34500000000003</v>
      </c>
    </row>
    <row r="77" spans="1:2" x14ac:dyDescent="0.2">
      <c r="A77" t="s">
        <v>129</v>
      </c>
      <c r="B77">
        <v>286.62099999999998</v>
      </c>
    </row>
    <row r="78" spans="1:2" x14ac:dyDescent="0.2">
      <c r="A78" t="s">
        <v>199</v>
      </c>
      <c r="B78">
        <v>278.74299999999999</v>
      </c>
    </row>
    <row r="79" spans="1:2" x14ac:dyDescent="0.2">
      <c r="A79" t="s">
        <v>212</v>
      </c>
      <c r="B79">
        <v>264.767</v>
      </c>
    </row>
    <row r="80" spans="1:2" x14ac:dyDescent="0.2">
      <c r="A80" t="s">
        <v>246</v>
      </c>
      <c r="B80">
        <v>264.69900000000001</v>
      </c>
    </row>
    <row r="81" spans="1:2" x14ac:dyDescent="0.2">
      <c r="A81" t="s">
        <v>159</v>
      </c>
      <c r="B81">
        <v>257.24599999999998</v>
      </c>
    </row>
    <row r="82" spans="1:2" x14ac:dyDescent="0.2">
      <c r="A82" t="s">
        <v>200</v>
      </c>
      <c r="B82">
        <v>255.32900000000001</v>
      </c>
    </row>
    <row r="83" spans="1:2" x14ac:dyDescent="0.2">
      <c r="A83" t="s">
        <v>119</v>
      </c>
      <c r="B83">
        <v>250.108</v>
      </c>
    </row>
    <row r="84" spans="1:2" x14ac:dyDescent="0.2">
      <c r="A84" t="s">
        <v>247</v>
      </c>
      <c r="B84">
        <v>210.84700000000001</v>
      </c>
    </row>
    <row r="85" spans="1:2" x14ac:dyDescent="0.2">
      <c r="A85" t="s">
        <v>248</v>
      </c>
      <c r="B85">
        <v>210.71199999999999</v>
      </c>
    </row>
    <row r="86" spans="1:2" x14ac:dyDescent="0.2">
      <c r="A86" t="s">
        <v>97</v>
      </c>
      <c r="B86">
        <v>205.71199999999999</v>
      </c>
    </row>
    <row r="87" spans="1:2" x14ac:dyDescent="0.2">
      <c r="A87" t="s">
        <v>146</v>
      </c>
      <c r="B87">
        <v>202.41499999999999</v>
      </c>
    </row>
    <row r="88" spans="1:2" x14ac:dyDescent="0.2">
      <c r="A88" t="s">
        <v>162</v>
      </c>
      <c r="B88">
        <v>200.97900000000001</v>
      </c>
    </row>
    <row r="89" spans="1:2" x14ac:dyDescent="0.2">
      <c r="A89" t="s">
        <v>249</v>
      </c>
      <c r="B89">
        <v>195.517</v>
      </c>
    </row>
    <row r="90" spans="1:2" x14ac:dyDescent="0.2">
      <c r="A90" t="s">
        <v>250</v>
      </c>
      <c r="B90">
        <v>193.762</v>
      </c>
    </row>
    <row r="91" spans="1:2" x14ac:dyDescent="0.2">
      <c r="A91" t="s">
        <v>151</v>
      </c>
      <c r="B91">
        <v>185.15</v>
      </c>
    </row>
    <row r="92" spans="1:2" x14ac:dyDescent="0.2">
      <c r="A92" t="s">
        <v>251</v>
      </c>
      <c r="B92">
        <v>184.63200000000001</v>
      </c>
    </row>
    <row r="93" spans="1:2" x14ac:dyDescent="0.2">
      <c r="A93" t="s">
        <v>201</v>
      </c>
      <c r="B93">
        <v>182.41800000000001</v>
      </c>
    </row>
    <row r="94" spans="1:2" x14ac:dyDescent="0.2">
      <c r="A94" t="s">
        <v>252</v>
      </c>
      <c r="B94">
        <v>169.47900000000001</v>
      </c>
    </row>
    <row r="95" spans="1:2" x14ac:dyDescent="0.2">
      <c r="A95" t="s">
        <v>153</v>
      </c>
      <c r="B95">
        <v>169.21700000000001</v>
      </c>
    </row>
    <row r="96" spans="1:2" x14ac:dyDescent="0.2">
      <c r="A96" t="s">
        <v>198</v>
      </c>
      <c r="B96">
        <v>164.51499999999999</v>
      </c>
    </row>
    <row r="97" spans="1:2" x14ac:dyDescent="0.2">
      <c r="A97" t="s">
        <v>164</v>
      </c>
      <c r="B97">
        <v>152.423</v>
      </c>
    </row>
    <row r="98" spans="1:2" x14ac:dyDescent="0.2">
      <c r="A98" t="s">
        <v>253</v>
      </c>
      <c r="B98">
        <v>151.05199999999999</v>
      </c>
    </row>
    <row r="99" spans="1:2" x14ac:dyDescent="0.2">
      <c r="A99" t="s">
        <v>254</v>
      </c>
      <c r="B99">
        <v>147.672</v>
      </c>
    </row>
    <row r="100" spans="1:2" x14ac:dyDescent="0.2">
      <c r="A100" t="s">
        <v>255</v>
      </c>
      <c r="B100">
        <v>147.62299999999999</v>
      </c>
    </row>
    <row r="101" spans="1:2" x14ac:dyDescent="0.2">
      <c r="A101" t="s">
        <v>256</v>
      </c>
      <c r="B101">
        <v>127.83199999999999</v>
      </c>
    </row>
    <row r="102" spans="1:2" x14ac:dyDescent="0.2">
      <c r="A102" t="s">
        <v>211</v>
      </c>
      <c r="B102">
        <v>125.17400000000001</v>
      </c>
    </row>
    <row r="103" spans="1:2" x14ac:dyDescent="0.2">
      <c r="A103" t="s">
        <v>257</v>
      </c>
      <c r="B103">
        <v>122.496</v>
      </c>
    </row>
    <row r="104" spans="1:2" x14ac:dyDescent="0.2">
      <c r="A104" t="s">
        <v>258</v>
      </c>
      <c r="B104">
        <v>117.98</v>
      </c>
    </row>
    <row r="105" spans="1:2" x14ac:dyDescent="0.2">
      <c r="A105" t="s">
        <v>58</v>
      </c>
      <c r="B105">
        <v>114.619</v>
      </c>
    </row>
    <row r="106" spans="1:2" x14ac:dyDescent="0.2">
      <c r="A106" t="s">
        <v>208</v>
      </c>
      <c r="B106">
        <v>113.566</v>
      </c>
    </row>
    <row r="107" spans="1:2" x14ac:dyDescent="0.2">
      <c r="A107" t="s">
        <v>195</v>
      </c>
      <c r="B107">
        <v>113.392</v>
      </c>
    </row>
    <row r="108" spans="1:2" x14ac:dyDescent="0.2">
      <c r="A108" t="s">
        <v>121</v>
      </c>
      <c r="B108">
        <v>113.158</v>
      </c>
    </row>
    <row r="109" spans="1:2" x14ac:dyDescent="0.2">
      <c r="A109" t="s">
        <v>214</v>
      </c>
      <c r="B109">
        <v>108.761</v>
      </c>
    </row>
    <row r="110" spans="1:2" x14ac:dyDescent="0.2">
      <c r="A110" t="s">
        <v>134</v>
      </c>
      <c r="B110">
        <v>89.927000000000007</v>
      </c>
    </row>
    <row r="111" spans="1:2" x14ac:dyDescent="0.2">
      <c r="A111" t="s">
        <v>259</v>
      </c>
      <c r="B111">
        <v>86.905000000000001</v>
      </c>
    </row>
    <row r="112" spans="1:2" x14ac:dyDescent="0.2">
      <c r="A112" t="s">
        <v>74</v>
      </c>
      <c r="B112">
        <v>86.605999999999995</v>
      </c>
    </row>
    <row r="113" spans="1:2" x14ac:dyDescent="0.2">
      <c r="A113" t="s">
        <v>260</v>
      </c>
      <c r="B113">
        <v>83.790999999999997</v>
      </c>
    </row>
    <row r="114" spans="1:2" x14ac:dyDescent="0.2">
      <c r="A114" t="s">
        <v>261</v>
      </c>
      <c r="B114">
        <v>82.757999999999996</v>
      </c>
    </row>
    <row r="115" spans="1:2" x14ac:dyDescent="0.2">
      <c r="A115" t="s">
        <v>160</v>
      </c>
      <c r="B115">
        <v>80.507999999999996</v>
      </c>
    </row>
    <row r="116" spans="1:2" x14ac:dyDescent="0.2">
      <c r="A116" t="s">
        <v>202</v>
      </c>
      <c r="B116">
        <v>80.379000000000005</v>
      </c>
    </row>
    <row r="117" spans="1:2" x14ac:dyDescent="0.2">
      <c r="A117" t="s">
        <v>262</v>
      </c>
      <c r="B117">
        <v>66.97</v>
      </c>
    </row>
    <row r="118" spans="1:2" x14ac:dyDescent="0.2">
      <c r="A118" t="s">
        <v>263</v>
      </c>
      <c r="B118">
        <v>61.912999999999997</v>
      </c>
    </row>
    <row r="119" spans="1:2" x14ac:dyDescent="0.2">
      <c r="A119" t="s">
        <v>264</v>
      </c>
      <c r="B119">
        <v>58.679000000000002</v>
      </c>
    </row>
    <row r="120" spans="1:2" x14ac:dyDescent="0.2">
      <c r="A120" t="s">
        <v>265</v>
      </c>
      <c r="B120">
        <v>56.438000000000002</v>
      </c>
    </row>
    <row r="121" spans="1:2" x14ac:dyDescent="0.2">
      <c r="A121" t="s">
        <v>266</v>
      </c>
      <c r="B121">
        <v>51.514000000000003</v>
      </c>
    </row>
    <row r="122" spans="1:2" x14ac:dyDescent="0.2">
      <c r="A122" t="s">
        <v>267</v>
      </c>
      <c r="B122">
        <v>50.4</v>
      </c>
    </row>
    <row r="123" spans="1:2" x14ac:dyDescent="0.2">
      <c r="A123" t="s">
        <v>268</v>
      </c>
      <c r="B123">
        <v>49.609000000000002</v>
      </c>
    </row>
    <row r="124" spans="1:2" x14ac:dyDescent="0.2">
      <c r="A124" t="s">
        <v>140</v>
      </c>
      <c r="B124">
        <v>49.311</v>
      </c>
    </row>
    <row r="125" spans="1:2" x14ac:dyDescent="0.2">
      <c r="A125" t="s">
        <v>269</v>
      </c>
      <c r="B125">
        <v>47.645000000000003</v>
      </c>
    </row>
    <row r="126" spans="1:2" x14ac:dyDescent="0.2">
      <c r="A126" t="s">
        <v>270</v>
      </c>
      <c r="B126">
        <v>47.127000000000002</v>
      </c>
    </row>
    <row r="127" spans="1:2" x14ac:dyDescent="0.2">
      <c r="A127" t="s">
        <v>271</v>
      </c>
      <c r="B127">
        <v>44.805999999999997</v>
      </c>
    </row>
    <row r="128" spans="1:2" x14ac:dyDescent="0.2">
      <c r="A128" t="s">
        <v>272</v>
      </c>
      <c r="B128">
        <v>42.058</v>
      </c>
    </row>
    <row r="129" spans="1:2" x14ac:dyDescent="0.2">
      <c r="A129" t="s">
        <v>39</v>
      </c>
      <c r="B129">
        <v>41.14</v>
      </c>
    </row>
    <row r="130" spans="1:2" x14ac:dyDescent="0.2">
      <c r="A130" t="s">
        <v>273</v>
      </c>
      <c r="B130">
        <v>31.873000000000001</v>
      </c>
    </row>
    <row r="131" spans="1:2" x14ac:dyDescent="0.2">
      <c r="A131" t="s">
        <v>274</v>
      </c>
      <c r="B131">
        <v>31.824000000000002</v>
      </c>
    </row>
    <row r="132" spans="1:2" x14ac:dyDescent="0.2">
      <c r="A132" t="s">
        <v>275</v>
      </c>
      <c r="B132">
        <v>20.210999999999999</v>
      </c>
    </row>
    <row r="133" spans="1:2" x14ac:dyDescent="0.2">
      <c r="A133" t="s">
        <v>183</v>
      </c>
      <c r="B133">
        <v>17.957999999999998</v>
      </c>
    </row>
    <row r="134" spans="1:2" x14ac:dyDescent="0.2">
      <c r="A134" t="s">
        <v>276</v>
      </c>
      <c r="B134">
        <v>17.913</v>
      </c>
    </row>
    <row r="135" spans="1:2" x14ac:dyDescent="0.2">
      <c r="A135" t="s">
        <v>192</v>
      </c>
      <c r="B135">
        <v>15.67</v>
      </c>
    </row>
    <row r="136" spans="1:2" x14ac:dyDescent="0.2">
      <c r="A136" t="s">
        <v>277</v>
      </c>
      <c r="B136">
        <v>15.11</v>
      </c>
    </row>
    <row r="137" spans="1:2" x14ac:dyDescent="0.2">
      <c r="A137" t="s">
        <v>278</v>
      </c>
      <c r="B137">
        <v>12.763999999999999</v>
      </c>
    </row>
    <row r="138" spans="1:2" x14ac:dyDescent="0.2">
      <c r="A138" t="s">
        <v>279</v>
      </c>
      <c r="B138">
        <v>11.54</v>
      </c>
    </row>
    <row r="139" spans="1:2" x14ac:dyDescent="0.2">
      <c r="A139" t="s">
        <v>280</v>
      </c>
      <c r="B139">
        <v>8.5960000000000001</v>
      </c>
    </row>
    <row r="140" spans="1:2" x14ac:dyDescent="0.2">
      <c r="A140" t="s">
        <v>281</v>
      </c>
      <c r="B140">
        <v>8.27</v>
      </c>
    </row>
    <row r="141" spans="1:2" x14ac:dyDescent="0.2">
      <c r="A141" t="s">
        <v>282</v>
      </c>
      <c r="B141">
        <v>5.1680000000000001</v>
      </c>
    </row>
    <row r="142" spans="1:2" x14ac:dyDescent="0.2">
      <c r="A142" t="s">
        <v>283</v>
      </c>
      <c r="B142">
        <v>5.141</v>
      </c>
    </row>
    <row r="143" spans="1:2" x14ac:dyDescent="0.2">
      <c r="A143" t="s">
        <v>210</v>
      </c>
      <c r="B143">
        <v>4.3079999999999998</v>
      </c>
    </row>
    <row r="144" spans="1:2" x14ac:dyDescent="0.2">
      <c r="A144" t="s">
        <v>284</v>
      </c>
      <c r="B144">
        <v>3.7389999999999999</v>
      </c>
    </row>
    <row r="145" spans="1:2" x14ac:dyDescent="0.2">
      <c r="A145" t="s">
        <v>285</v>
      </c>
      <c r="B145">
        <v>3.54</v>
      </c>
    </row>
    <row r="146" spans="1:2" x14ac:dyDescent="0.2">
      <c r="A146" t="s">
        <v>286</v>
      </c>
      <c r="B146">
        <v>2.0049999999999999</v>
      </c>
    </row>
    <row r="147" spans="1:2" x14ac:dyDescent="0.2">
      <c r="A147" t="s">
        <v>287</v>
      </c>
      <c r="B147">
        <v>0.80900000000000005</v>
      </c>
    </row>
  </sheetData>
  <autoFilter ref="A1:B147" xr:uid="{1F7AA612-DE51-684E-9FA0-69F4F2E987CE}">
    <sortState xmlns:xlrd2="http://schemas.microsoft.com/office/spreadsheetml/2017/richdata2" ref="A2:B147">
      <sortCondition descending="1" ref="B1:B14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SELECTION</vt:lpstr>
      <vt:lpstr>TOKEN PAR PERS_ONTO</vt:lpstr>
      <vt:lpstr>TEMPS PAROLE PERS_ONTO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Jérôme Jacquin</dc:creator>
  <cp:keywords/>
  <dc:description/>
  <cp:lastModifiedBy>Microsoft Office User</cp:lastModifiedBy>
  <cp:revision/>
  <dcterms:created xsi:type="dcterms:W3CDTF">2022-01-10T13:37:10Z</dcterms:created>
  <dcterms:modified xsi:type="dcterms:W3CDTF">2023-02-01T13:56:53Z</dcterms:modified>
  <cp:category/>
  <cp:contentStatus/>
</cp:coreProperties>
</file>